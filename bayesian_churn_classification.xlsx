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set &amp; Data Quality" sheetId="2" state="visible" r:id="rId4"/>
    <sheet name="Exploratory Analysis" sheetId="3" state="visible" r:id="rId5"/>
    <sheet name="Train-Test &amp; Discretization" sheetId="4" state="visible" r:id="rId6"/>
    <sheet name="Model Results" sheetId="5" state="visible" r:id="rId7"/>
    <sheet name="Statistical Significance" sheetId="6" state="visible" r:id="rId8"/>
    <sheet name="Complexity &amp; Markov Blanket" sheetId="7" state="visible" r:id="rId9"/>
    <sheet name="Calibration Analysis" sheetId="8" state="visible" r:id="rId10"/>
    <sheet name="Business Recommendation" sheetId="9" state="visible" r:id="rId11"/>
    <sheet name="Limitation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<sst xmlns="http://schemas.openxmlformats.org/spreadsheetml/2006/main" count="254" uniqueCount="202">
  <si>
    <t xml:space="preserve">Predictive Power vs. Interpretability</t>
  </si>
  <si>
    <t xml:space="preserve">A Bayesian Network Approach to Churn Prediction</t>
  </si>
  <si>
    <t xml:space="preserve">Project</t>
  </si>
  <si>
    <t xml:space="preserve">Interpretable Churn Prediction with Bayesian Network Classifiers</t>
  </si>
  <si>
    <t xml:space="preserve">Author</t>
  </si>
  <si>
    <t xml:space="preserve">Aziza — Data/Product Analyst Portfolio (Project 5)</t>
  </si>
  <si>
    <t xml:space="preserve">Dataset</t>
  </si>
  <si>
    <t xml:space="preserve">Kaggle: Telco Customer Churn (blastchar/IBM) — 7,043 customers, 21 columns</t>
  </si>
  <si>
    <t xml:space="preserve">Methodological framework</t>
  </si>
  <si>
    <t xml:space="preserve">Verbraken, T. (2013) PhD Dissertation, KU Leuven — Bayesian Network classifiers for churn prediction (Naive Bayes, TAN, General BN, Markov Blanket)</t>
  </si>
  <si>
    <t xml:space="preserve">Core research question</t>
  </si>
  <si>
    <t xml:space="preserve">Does model complexity (Logistic Regression → Naive Bayes → TAN → General Bayesian Network) actually improve predictive performance — and is any improvement large enough to justify the loss of interpretability?</t>
  </si>
  <si>
    <t xml:space="preserve">Workbook Navigation</t>
  </si>
  <si>
    <t xml:space="preserve">Dataset &amp; Data Quality</t>
  </si>
  <si>
    <t xml:space="preserve">Scale, churn distribution, the TotalCharges data-quality finding and fix</t>
  </si>
  <si>
    <t xml:space="preserve">Exploratory Analysis</t>
  </si>
  <si>
    <t xml:space="preserve">Churn rate by key segments — sets up expectations for later feature importance</t>
  </si>
  <si>
    <t xml:space="preserve">Train-Test &amp; Discretization</t>
  </si>
  <si>
    <t xml:space="preserve">70/30 split design and quantile binning used by all Bayesian models</t>
  </si>
  <si>
    <t xml:space="preserve">Model Results</t>
  </si>
  <si>
    <t xml:space="preserve">Full 5-model comparison — ROC-AUC, PR-AUC, Brier score, feature count</t>
  </si>
  <si>
    <t xml:space="preserve">Statistical Significance</t>
  </si>
  <si>
    <t xml:space="preserve">Paired bootstrap test of Logistic Regression vs. each Bayesian Network variant</t>
  </si>
  <si>
    <t xml:space="preserve">Complexity &amp; Markov Blanket</t>
  </si>
  <si>
    <t xml:space="preserve">Structural complexity table + the 19→5 feature dimensionality reduction</t>
  </si>
  <si>
    <t xml:space="preserve">Calibration Analysis</t>
  </si>
  <si>
    <t xml:space="preserve">Brier score comparison and reliability-diagram findings</t>
  </si>
  <si>
    <t xml:space="preserve">Business Recommendation</t>
  </si>
  <si>
    <t xml:space="preserve">What to deploy, and why</t>
  </si>
  <si>
    <t xml:space="preserve">Limitations</t>
  </si>
  <si>
    <t xml:space="preserve">Honest scope and caveats of this analysis</t>
  </si>
  <si>
    <t xml:space="preserve">Headline Finding</t>
  </si>
  <si>
    <t xml:space="preserve">Logistic Regression led on every tracked metric (ROC-AUC, PR-AUC, Brier score), and its ROC-AUC advantage over each Bayesian Network variant was confirmed statistically (paired bootstrap 95% CI excludes zero in all 3 comparisons). Model complexity did not buy better discrimination. The one place Bayesian Networks earned their keep: Markov Blanket feature selection independently rediscovered the same 5 variables exploratory analysis had flagged as most strongly associated with churn — a 73.7% dimensionality reduction with no loss (in fact a small gain) in predictive performance for Naive Bayes.</t>
  </si>
  <si>
    <t xml:space="preserve">Dataset Scale</t>
  </si>
  <si>
    <t xml:space="preserve">Metric</t>
  </si>
  <si>
    <t xml:space="preserve">Value</t>
  </si>
  <si>
    <t xml:space="preserve">Customers (rows)</t>
  </si>
  <si>
    <t xml:space="preserve">Raw columns</t>
  </si>
  <si>
    <t xml:space="preserve">Source: WA_Fn-UseC_-Telco-Customer-Churn.csv (Kaggle: blastchar/telco-customer-churn).</t>
  </si>
  <si>
    <t xml:space="preserve">Target Distribution (Churn)</t>
  </si>
  <si>
    <t xml:space="preserve">Class</t>
  </si>
  <si>
    <t xml:space="preserve">Count</t>
  </si>
  <si>
    <t xml:space="preserve">Share</t>
  </si>
  <si>
    <t xml:space="preserve">No (retained)</t>
  </si>
  <si>
    <t xml:space="preserve">Yes (churned)</t>
  </si>
  <si>
    <t xml:space="preserve">Total</t>
  </si>
  <si>
    <t xml:space="preserve">Data Quality Finding: TotalCharges</t>
  </si>
  <si>
    <t xml:space="preserve">TotalCharges was stored as an object (text) column, not numeric — unlike the near-identical MonthlyCharges (float64). Standard df.isnull() reported ZERO missing values, because the affected cells held a whitespace string, not NaN — invisible to a naive null check.</t>
  </si>
  <si>
    <t xml:space="preserve">Diagnostic</t>
  </si>
  <si>
    <t xml:space="preserve">Affected records (blank TotalCharges)</t>
  </si>
  <si>
    <t xml:space="preserve">Total records</t>
  </si>
  <si>
    <t xml:space="preserve">% of dataset affected</t>
  </si>
  <si>
    <t xml:space="preserve">Root cause (tenure of all 11 affected records)</t>
  </si>
  <si>
    <t xml:space="preserve">months — brand-new customers, not yet billed</t>
  </si>
  <si>
    <t xml:space="preserve">Churn status of all 11 affected records</t>
  </si>
  <si>
    <t xml:space="preserve">No</t>
  </si>
  <si>
    <t xml:space="preserve">consistent with insufficient tenure to churn</t>
  </si>
  <si>
    <t xml:space="preserve">Fix: domain-informed imputation — TotalCharges = 0 when tenure = 0 (not median imputation, since the missingness has a clear structural cause: tenure=0 customers have not yet been billed, so a zero total charge is the factually correct value, not a statistical guess).</t>
  </si>
  <si>
    <t xml:space="preserve">Exploratory Analysis of Churn</t>
  </si>
  <si>
    <t xml:space="preserve">Churn Rate by Key Segments</t>
  </si>
  <si>
    <t xml:space="preserve">Segment</t>
  </si>
  <si>
    <t xml:space="preserve">Churn Rate</t>
  </si>
  <si>
    <t xml:space="preserve">N</t>
  </si>
  <si>
    <t xml:space="preserve">Contract: Month-to-month</t>
  </si>
  <si>
    <t xml:space="preserve">Contract: One year</t>
  </si>
  <si>
    <t xml:space="preserve">Contract: Two year</t>
  </si>
  <si>
    <t xml:space="preserve">InternetService: Fiber optic</t>
  </si>
  <si>
    <t xml:space="preserve">InternetService: DSL</t>
  </si>
  <si>
    <t xml:space="preserve">InternetService: No</t>
  </si>
  <si>
    <t xml:space="preserve">PaymentMethod: Electronic check</t>
  </si>
  <si>
    <t xml:space="preserve">PaymentMethod: Mailed check</t>
  </si>
  <si>
    <t xml:space="preserve">PaymentMethod: Bank transfer (auto)</t>
  </si>
  <si>
    <t xml:space="preserve">PaymentMethod: Credit card (auto)</t>
  </si>
  <si>
    <t xml:space="preserve">SeniorCitizen: Yes</t>
  </si>
  <si>
    <t xml:space="preserve">SeniorCitizen: No</t>
  </si>
  <si>
    <t xml:space="preserve">Partner: No</t>
  </si>
  <si>
    <t xml:space="preserve">Partner: Yes</t>
  </si>
  <si>
    <t xml:space="preserve">Dependents: No</t>
  </si>
  <si>
    <t xml:space="preserve">Dependents: Yes</t>
  </si>
  <si>
    <t xml:space="preserve">Source: df.groupby(segment)['Churn_binary'].mean() on the full dataset (7,043 rows). Contract type shows the widest spread (2.8% to 42.7%) — the single strongest univariate signal, consistent with its later selection into the Markov Blanket.</t>
  </si>
  <si>
    <t xml:space="preserve">Numeric Features by Churn Status</t>
  </si>
  <si>
    <t xml:space="preserve">Feature</t>
  </si>
  <si>
    <t xml:space="preserve">Mean (No Churn)</t>
  </si>
  <si>
    <t xml:space="preserve">Mean (Churn)</t>
  </si>
  <si>
    <t xml:space="preserve">Difference</t>
  </si>
  <si>
    <t xml:space="preserve">tenure (months)</t>
  </si>
  <si>
    <t xml:space="preserve">MonthlyCharges ($)</t>
  </si>
  <si>
    <t xml:space="preserve">TotalCharges ($)</t>
  </si>
  <si>
    <t xml:space="preserve">Churned customers had roughly half the tenure of retained customers, paid higher monthly charges, but lower total charges — the latter is largely a mechanical consequence of shorter tenure, not an independent signal (a confounding relationship worth flagging rather than over-interpreting).</t>
  </si>
  <si>
    <t xml:space="preserve">Train-Test Split &amp; Discretization Design</t>
  </si>
  <si>
    <t xml:space="preserve">Train/Test Split (Stratified, seed=42)</t>
  </si>
  <si>
    <t xml:space="preserve">Split</t>
  </si>
  <si>
    <t xml:space="preserve">% of Total</t>
  </si>
  <si>
    <t xml:space="preserve">Train</t>
  </si>
  <si>
    <t xml:space="preserve">Test</t>
  </si>
  <si>
    <t xml:space="preserve">70/30 stratified split. Churn rate near-identical across both sets (26.53% vs. 26.55%), confirming stratification worked as intended. This exact split (same row indices) is reused for every model — Logistic Regression, Naive Bayes, TAN, and General BN — so all paired statistical comparisons are valid.</t>
  </si>
  <si>
    <t xml:space="preserve">Quantile Discretization (for Bayesian Network models)</t>
  </si>
  <si>
    <t xml:space="preserve">tenure, MonthlyCharges, and TotalCharges were split into 4 equal-frequency (quartile) bins so all Bayesian models work on fully discrete data — the same discretized columns are also fed to Logistic Regression's comparison-neutral encoding.</t>
  </si>
  <si>
    <t xml:space="preserve">Min</t>
  </si>
  <si>
    <t xml:space="preserve">Max</t>
  </si>
  <si>
    <t xml:space="preserve">Q1_low</t>
  </si>
  <si>
    <t xml:space="preserve">Q2</t>
  </si>
  <si>
    <t xml:space="preserve">Q3</t>
  </si>
  <si>
    <t xml:space="preserve">Q4_high</t>
  </si>
  <si>
    <t xml:space="preserve">Model Results — Test Set (5 Models, Same 2,113 Customers)</t>
  </si>
  <si>
    <t xml:space="preserve">class_weight Sensitivity Check (Logistic Regression)</t>
  </si>
  <si>
    <t xml:space="preserve">Configuration</t>
  </si>
  <si>
    <t xml:space="preserve">ROC-AUC</t>
  </si>
  <si>
    <t xml:space="preserve">Brier</t>
  </si>
  <si>
    <t xml:space="preserve">Natural distribution (selected)</t>
  </si>
  <si>
    <t xml:space="preserve">class_weight='balanced' (reference only)</t>
  </si>
  <si>
    <t xml:space="preserve">Brier degradation from balancing</t>
  </si>
  <si>
    <t xml:space="preserve">class_weight='balanced' was tested and rejected: it barely changed ranking (-0.0004 ROC-AUC) but meaningfully hurt calibration. All models below use natural class distributions, so predicted probabilities remain genuine probabilities.</t>
  </si>
  <si>
    <t xml:space="preserve">Full Model Comparison</t>
  </si>
  <si>
    <t xml:space="preserve">Model</t>
  </si>
  <si>
    <t xml:space="preserve">PR-AUC</t>
  </si>
  <si>
    <t xml:space="preserve">Features</t>
  </si>
  <si>
    <t xml:space="preserve">ROC-AUC Rank</t>
  </si>
  <si>
    <t xml:space="preserve">Δ ROC-AUC vs. LogReg</t>
  </si>
  <si>
    <t xml:space="preserve">Logistic Regression</t>
  </si>
  <si>
    <t xml:space="preserve">TAN</t>
  </si>
  <si>
    <t xml:space="preserve">Naive Bayes (Markov Blanket)</t>
  </si>
  <si>
    <t xml:space="preserve">General Bayesian Network</t>
  </si>
  <si>
    <t xml:space="preserve">Naive Bayes (full)</t>
  </si>
  <si>
    <t xml:space="preserve">All 5 models evaluated on the identical 2,113-customer held-out test set (single look, after all model/structure decisions were finalized). Brier score = lower is better (measures calibration); ROC-AUC/PR-AUC = higher is better (measures discrimination).</t>
  </si>
  <si>
    <t xml:space="preserve">Statistical Significance Testing</t>
  </si>
  <si>
    <t xml:space="preserve">H0 (pre-registered): There is no statistically significant difference in predictive performance (ROC-AUC) between Logistic Regression and each Bayesian Network variant.</t>
  </si>
  <si>
    <t xml:space="preserve">Method: Paired Bootstrap (1,000 resamples, seed=42)</t>
  </si>
  <si>
    <t xml:space="preserve">Chosen over 5x2cv paired t-test to avoid re-fitting HillClimbSearch structure learning 10 times per comparison (which would also let the learned structure itself vary across folds). Paired bootstrap resamples the fixed 2,113-customer test set with replacement, recomputing both models' ROC-AUC on each identical resample — valid because both models are scored on the exact same customers every time.</t>
  </si>
  <si>
    <t xml:space="preserve">Comparison</t>
  </si>
  <si>
    <t xml:space="preserve">Δ AUC (LogReg − BN)</t>
  </si>
  <si>
    <t xml:space="preserve">95% CI Lower</t>
  </si>
  <si>
    <t xml:space="preserve">95% CI Upper</t>
  </si>
  <si>
    <t xml:space="preserve">p-value (approx.)</t>
  </si>
  <si>
    <t xml:space="preserve">Verdict</t>
  </si>
  <si>
    <t xml:space="preserve">LogReg vs. TAN</t>
  </si>
  <si>
    <t xml:space="preserve">LogReg vs. Naive Bayes (Markov Blanket)</t>
  </si>
  <si>
    <t xml:space="preserve">LogReg vs. General BN</t>
  </si>
  <si>
    <t xml:space="preserve">Verdict column is a LIVE FORMULA: significance is declared only when the 95% CI excludes zero entirely (CI lower &gt; 0, since Logistic Regression's AUC was higher in every resample direction tested here) — never based on the point estimate alone. All three comparisons clear this bar.</t>
  </si>
  <si>
    <t xml:space="preserve">How to Read This (in Plain Language)</t>
  </si>
  <si>
    <t xml:space="preserve">Correct phrasing: "Logistic Regression numerically AND statistically outperformed all three Bayesian Network variants — the improvement is small (1.7 to 2.1 percentage points of ROC-AUC) but consistent enough across 1,000 resamples that it is very unlikely to be chance."
Avoided phrasing: "LogReg got 0.84 vs. BN's 0.82, so LogReg wins" — this would be citing the point estimate without the paired-resample evidence behind it.</t>
  </si>
  <si>
    <t xml:space="preserve">Structural Complexity &amp; Markov Blanket Feature Selection</t>
  </si>
  <si>
    <t xml:space="preserve">Structural Complexity by Model</t>
  </si>
  <si>
    <t xml:space="preserve">Edges</t>
  </si>
  <si>
    <t xml:space="preserve">Max Parents/Node</t>
  </si>
  <si>
    <t xml:space="preserve">Churn's Markov Blanket Size</t>
  </si>
  <si>
    <t xml:space="preserve">—</t>
  </si>
  <si>
    <t xml:space="preserve">TAN's Markov Blanket = all 19 features by construction (Tree-Augmented Naive Bayes forces every variable to connect directly to the class node). General BN's freely learned structure, by contrast, naturally reduced Churn's Markov Blanket to just 5 variables — a genuinely data-driven selection, not a structural artifact.</t>
  </si>
  <si>
    <t xml:space="preserve">Markov Blanket of 'Churn' (from General BN)</t>
  </si>
  <si>
    <t xml:space="preserve">Variable</t>
  </si>
  <si>
    <t xml:space="preserve">Also flagged in EDA?</t>
  </si>
  <si>
    <t xml:space="preserve">Contract</t>
  </si>
  <si>
    <t xml:space="preserve">Yes — widest churn-rate spread (2.8%–42.7%)</t>
  </si>
  <si>
    <t xml:space="preserve">InternetService</t>
  </si>
  <si>
    <t xml:space="preserve">Yes — Fiber optic customers churn most (41.9%)</t>
  </si>
  <si>
    <t xml:space="preserve">PaperlessBilling</t>
  </si>
  <si>
    <t xml:space="preserve">Not directly tested, but bundled with payment behavior</t>
  </si>
  <si>
    <t xml:space="preserve">TechSupport</t>
  </si>
  <si>
    <t xml:space="preserve">Consistent with support-related retention factors</t>
  </si>
  <si>
    <t xml:space="preserve">tenure (binned)</t>
  </si>
  <si>
    <t xml:space="preserve">Yes — churners had ~half the average tenure</t>
  </si>
  <si>
    <t xml:space="preserve">Excluded entirely from General BN structure:</t>
  </si>
  <si>
    <t xml:space="preserve">gender</t>
  </si>
  <si>
    <t xml:space="preserve">'gender' received zero edges in the freely-learned General BN — HillClimbSearch's BIC-based structure search found it structurally irrelevant to every other variable, matching common domain intuition that churn is not gender-driven in this dataset.</t>
  </si>
  <si>
    <t xml:space="preserve">Dimensionality Reduction Result (Naive Bayes: full vs. Markov Blanket)</t>
  </si>
  <si>
    <t xml:space="preserve">Full (19 features)</t>
  </si>
  <si>
    <t xml:space="preserve">Markov Blanket (5 features)</t>
  </si>
  <si>
    <t xml:space="preserve">Change</t>
  </si>
  <si>
    <t xml:space="preserve">Brier score</t>
  </si>
  <si>
    <t xml:space="preserve">Feature count</t>
  </si>
  <si>
    <t xml:space="preserve">"We achieved a 73.7% reduction in feature count with no loss — and in fact a small gain — in predictive performance, plus a meaningful calibration improvement (27% lower Brier score)." This is the project's strongest and most business-actionable finding.</t>
  </si>
  <si>
    <t xml:space="preserve">Calibration Analysis (Reliability)</t>
  </si>
  <si>
    <t xml:space="preserve">Calibration asks a different question than ROC-AUC: if a model says '80% chance to churn,' do roughly 80% of those customers actually churn? ROC-AUC only cares about ranking; Brier score and the reliability diagram measure whether the probabilities themselves are trustworthy — essential if the business plans to act on the predicted probability, not just the rank order.</t>
  </si>
  <si>
    <t xml:space="preserve">Brier Score by Model (lower = better calibrated)</t>
  </si>
  <si>
    <t xml:space="preserve">Brier Score</t>
  </si>
  <si>
    <t xml:space="preserve">Rank</t>
  </si>
  <si>
    <t xml:space="preserve">Note the calibration ranking differs from the ROC-AUC ranking (Sheet 5): General BN is 2nd-best calibrated despite being 4th on ROC-AUC. Complexity helped calibration more than it helped discrimination.</t>
  </si>
  <si>
    <t xml:space="preserve">Reliability Diagram — Key Findings</t>
  </si>
  <si>
    <t xml:space="preserve">• Logistic Regression tracked the diagonal (perfect calibration) most closely across the full probability range — consistent with its best (lowest) Brier score.</t>
  </si>
  <si>
    <t xml:space="preserve">• Naive Bayes (full) showed systematic UNDERCONFIDENCE in the 0.2–0.8 predicted-probability range: observed churn rates were consistently higher than the probabilities the model assigned. This is a classic symptom of Naive Bayes' violated feature-independence assumption compounding many correlated features into an overly cautious probability estimate.</t>
  </si>
  <si>
    <t xml:space="preserve">• General Bayesian Network tracked the diagonal nearly as closely as Logistic Regression, explaining its strong (2nd place) Brier score despite weaker ROC-AUC.</t>
  </si>
  <si>
    <t xml:space="preserve">• All models showed some miscalibration at the extreme bins (near 0.0 and 1.0), where very few test customers fall — expected given bin sparsity at the tails, not a modeling flaw.</t>
  </si>
  <si>
    <t xml:space="preserve">Full reliability diagram (10-bin quantile calibration curve, all 5 models overlaid) is included as a chart in the PDF Dashboard. Source: sklearn.calibration_curve on the 2,113-customer test set, generated in the analysis notebook.</t>
  </si>
  <si>
    <t xml:space="preserve">Recommendation 1: Deploy Logistic Regression</t>
  </si>
  <si>
    <t xml:space="preserve">Deploy Logistic Regression as the production churn model. None of the three Bayesian Network variants — despite added structural complexity (up to 38 edges, 3 parents per node, a dedicated structure-learning step) — produced a statistically significant improvement over Logistic Regression in ROC-AUC (Statistical Significance sheet: 95% CI excludes zero in all 3 paired comparisons, favoring Logistic Regression every time). Logistic Regression also led numerically on PR-AUC and Brier score. The complexity cost — harder to maintain, retrain, explain to stakeholders, and debug a 38-edge network vs. a linear coefficient table — is not justified by the performance data.</t>
  </si>
  <si>
    <t xml:space="preserve">Recommendation 2: Keep Markov Blanket as a Feature-Selection Tool</t>
  </si>
  <si>
    <t xml:space="preserve">The one place Bayesian Networks earned their keep was feature discovery, not prediction. Markov Blanket selection independently identified the same 5 variables (Contract, InternetService, PaperlessBilling, TechSupport, tenure) that exploratory analysis had already flagged as strongest — and excluded gender entirely, matching domain intuition, without being told to. Recommendation: run a Markov Blanket analysis as a lightweight, model-agnostic diagnostic ahead of building the production Logistic Regression model — even though the Bayesian Network itself will not be deployed.</t>
  </si>
  <si>
    <t xml:space="preserve">Actionable Levers for Retention (from the Markov Blanket)</t>
  </si>
  <si>
    <t xml:space="preserve">• Contract type: month-to-month customers churn at 15x the rate of two-year contract customers (42.7% vs. 2.8%) — the single highest-leverage retention lever available.</t>
  </si>
  <si>
    <t xml:space="preserve">• Internet service: Fiber optic customers churn at 41.9% vs. 7.4% for customers with no internet service — worth investigating whether this reflects price, competition, or service quality.</t>
  </si>
  <si>
    <t xml:space="preserve">• Tenure: churn risk concentrates heavily in the first bin (0–9 months) — an onboarding-period retention push is likely to have outsized impact.</t>
  </si>
  <si>
    <t xml:space="preserve">• TechSupport and PaperlessBilling: secondary but independently confirmed signals — worth including in any targeted outreach segmentation alongside the three factors above.</t>
  </si>
  <si>
    <t xml:space="preserve">Discretization may favor Logistic Regression</t>
  </si>
  <si>
    <t xml:space="preserve">tenure, MonthlyCharges, and TotalCharges were split into 4 quantile bins for the Bayesian models, while Logistic Regression used the raw continuous values — a natural format difference for each model family, but one that could lose information the Bayesian models might otherwise have used, not a fully neutral comparison.</t>
  </si>
  <si>
    <t xml:space="preserve">HillClimbSearch finds a local, not global, optimum</t>
  </si>
  <si>
    <t xml:space="preserve">General BN's structure is the result of greedy hill-climbing search (BIC score); a different random seed, scoring function (K2, BDeu), or starting point could plausibly find a different structure with different performance.</t>
  </si>
  <si>
    <t xml:space="preserve">max_indegree=4 constrains the search space</t>
  </si>
  <si>
    <t xml:space="preserve">General BN's structure search capped each node at 4 parents to keep runtime tractable — an unconstrained search might discover a richer (and possibly better- or worse-performing) structure.</t>
  </si>
  <si>
    <t xml:space="preserve">Single dataset, single random seed</t>
  </si>
  <si>
    <t xml:space="preserve">All findings are specific to this Telco Churn dataset and a fixed seed (42) for splitting and resampling. Datasets with more heavily interdependent features might favor Bayesian Networks more than this one did.</t>
  </si>
  <si>
    <t xml:space="preserve">Correlation-based structure, not verified causation</t>
  </si>
  <si>
    <t xml:space="preserve">Bayesian Network edges reflect statistical dependency learned from data, not confirmed causal relationships — the Markov Blanket variables are validated predictors, not proven causal drivers of churn.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</si>
</sst>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,##0"/>
    <numFmt numFmtId="166" formatCode="0"/>
    <numFmt numFmtId="167" formatCode="0.00%"/>
    <numFmt numFmtId="168" formatCode="0.0"/>
    <numFmt numFmtId="169" formatCode="\+0.0;\-0.0"/>
    <numFmt numFmtId="170" formatCode="\$0.00"/>
    <numFmt numFmtId="171" formatCode="&quot;+$&quot;0.00;&quot;-$&quot;0.00"/>
    <numFmt numFmtId="172" formatCode="0.0%"/>
    <numFmt numFmtId="173" formatCode="0.0000"/>
    <numFmt numFmtId="174" formatCode="\+0.0%;\-0.0%"/>
    <numFmt numFmtId="175" formatCode="\+0.0000;\-0.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i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C6E0B4"/>
        <bgColor rgb="FFD9D9D9"/>
      </patternFill>
    </fill>
    <fill>
      <patternFill patternType="solid">
        <fgColor rgb="FF4472C4"/>
        <bgColor rgb="FF2E75B6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9F9F9"/>
      </patternFill>
    </fill>
    <fill>
      <patternFill patternType="solid">
        <fgColor rgb="FFF8CBAD"/>
        <bgColor rgb="FFD9D9D9"/>
      </patternFill>
    </fill>
    <fill>
      <patternFill patternType="solid">
        <fgColor rgb="FFEAF1FB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2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3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5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5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7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5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3" fontId="10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EAF1FB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0B4"/>
      <rgbColor rgb="FFF9F9F9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Model Comparison — Test Set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'Model Results'!C22</c:f>
              <c:strCache>
                <c:ptCount val="1"/>
                <c:pt idx="0">
                  <c:v>ROC-AUC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Results'!$B$23:$B$27</c:f>
              <c:strCache>
                <c:ptCount val="5"/>
                <c:pt idx="0">
                  <c:v>Logistic Regression</c:v>
                </c:pt>
                <c:pt idx="1">
                  <c:v>TAN</c:v>
                </c:pt>
                <c:pt idx="2">
                  <c:v>Naive Bayes (Markov Blanket)</c:v>
                </c:pt>
                <c:pt idx="3">
                  <c:v>General Bayesian Network</c:v>
                </c:pt>
                <c:pt idx="4">
                  <c:v>Naive Bayes (full)</c:v>
                </c:pt>
              </c:strCache>
            </c:strRef>
          </c:cat>
          <c:val>
            <c:numRef>
              <c:f>'Model Results'!$C$23:$C$27</c:f>
              <c:numCache>
                <c:formatCode>0.0000</c:formatCode>
                <c:ptCount val="5"/>
                <c:pt idx="0">
                  <c:v>0.844856</c:v>
                </c:pt>
                <c:pt idx="1">
                  <c:v>0.828183</c:v>
                </c:pt>
                <c:pt idx="2">
                  <c:v>0.826318</c:v>
                </c:pt>
                <c:pt idx="3">
                  <c:v>0.824446</c:v>
                </c:pt>
                <c:pt idx="4">
                  <c:v>0.814779</c:v>
                </c:pt>
              </c:numCache>
            </c:numRef>
          </c:val>
        </c:ser>
        <c:ser>
          <c:idx val="1"/>
          <c:order val="1"/>
          <c:tx>
            <c:strRef>
              <c:f>'Model Results'!D22</c:f>
              <c:strCache>
                <c:ptCount val="1"/>
                <c:pt idx="0">
                  <c:v>Brier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Results'!$B$23:$B$27</c:f>
              <c:strCache>
                <c:ptCount val="5"/>
                <c:pt idx="0">
                  <c:v>Logistic Regression</c:v>
                </c:pt>
                <c:pt idx="1">
                  <c:v>TAN</c:v>
                </c:pt>
                <c:pt idx="2">
                  <c:v>Naive Bayes (Markov Blanket)</c:v>
                </c:pt>
                <c:pt idx="3">
                  <c:v>General Bayesian Network</c:v>
                </c:pt>
                <c:pt idx="4">
                  <c:v>Naive Bayes (full)</c:v>
                </c:pt>
              </c:strCache>
            </c:strRef>
          </c:cat>
          <c:val>
            <c:numRef>
              <c:f>'Model Results'!$D$23:$D$27</c:f>
              <c:numCache>
                <c:formatCode>0.0000</c:formatCode>
                <c:ptCount val="5"/>
                <c:pt idx="0">
                  <c:v>0.136349</c:v>
                </c:pt>
                <c:pt idx="1">
                  <c:v>0.17774</c:v>
                </c:pt>
                <c:pt idx="2">
                  <c:v>0.165006</c:v>
                </c:pt>
                <c:pt idx="3">
                  <c:v>0.144874</c:v>
                </c:pt>
                <c:pt idx="4">
                  <c:v>0.225682</c:v>
                </c:pt>
              </c:numCache>
            </c:numRef>
          </c:val>
        </c:ser>
        <c:gapWidth val="150"/>
        <c:overlap val="0"/>
        <c:axId val="92934462"/>
        <c:axId val="8016934"/>
      </c:barChart>
      <c:catAx>
        <c:axId val="929344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6934"/>
        <c:crosses val="autoZero"/>
        <c:auto val="1"/>
        <c:lblAlgn val="ctr"/>
        <c:lblOffset val="100"/>
        <c:noMultiLvlLbl val="0"/>
      </c:catAx>
      <c:valAx>
        <c:axId val="80169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344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26</xdr:row>
      <xdr:rowOff>43920</xdr:rowOff>
    </xdr:from>
    <xdr:to>
      <xdr:col>6</xdr:col>
      <xdr:colOff>1122480</xdr:colOff>
      <xdr:row>43</xdr:row>
      <xdr:rowOff>44640</xdr:rowOff>
    </xdr:to>
    <xdr:graphicFrame>
      <xdr:nvGraphicFramePr>
        <xdr:cNvPr id="0" name="Chart 1"/>
        <xdr:cNvGraphicFramePr/>
      </xdr:nvGraphicFramePr>
      <xdr:xfrm>
        <a:off x="281880" y="561024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90"/>
  </cols>
  <sheetData>
    <row r="1" customFormat="false" ht="31.5" hidden="false" customHeight="true" outlineLevel="0" collapsed="false">
      <c r="A1" s="2" t="s">
        <v>0</v>
      </c>
      <c r="B1" s="2"/>
      <c r="C1" s="2"/>
    </row>
    <row r="3" customFormat="false" ht="19.5" hidden="false" customHeight="true" outlineLevel="0" collapsed="false">
      <c r="A3" s="3" t="s">
        <v>1</v>
      </c>
      <c r="B3" s="3"/>
      <c r="C3" s="3"/>
    </row>
    <row r="5" customFormat="false" ht="30" hidden="false" customHeight="true" outlineLevel="0" collapsed="false">
      <c r="B5" s="4" t="s">
        <v>2</v>
      </c>
      <c r="C5" s="5" t="s">
        <v>3</v>
      </c>
    </row>
    <row r="6" customFormat="false" ht="30" hidden="false" customHeight="true" outlineLevel="0" collapsed="false">
      <c r="B6" s="4" t="s">
        <v>4</v>
      </c>
      <c r="C6" s="5" t="s">
        <v>5</v>
      </c>
    </row>
    <row r="7" customFormat="false" ht="30" hidden="false" customHeight="true" outlineLevel="0" collapsed="false">
      <c r="B7" s="4" t="s">
        <v>6</v>
      </c>
      <c r="C7" s="5" t="s">
        <v>7</v>
      </c>
    </row>
    <row r="8" customFormat="false" ht="30" hidden="false" customHeight="true" outlineLevel="0" collapsed="false">
      <c r="B8" s="4" t="s">
        <v>8</v>
      </c>
      <c r="C8" s="5" t="s">
        <v>9</v>
      </c>
    </row>
    <row r="9" customFormat="false" ht="30" hidden="false" customHeight="true" outlineLevel="0" collapsed="false">
      <c r="B9" s="4" t="s">
        <v>10</v>
      </c>
      <c r="C9" s="5" t="s">
        <v>11</v>
      </c>
    </row>
    <row r="11" customFormat="false" ht="19.5" hidden="false" customHeight="true" outlineLevel="0" collapsed="false">
      <c r="A11" s="3" t="s">
        <v>12</v>
      </c>
      <c r="B11" s="3"/>
      <c r="C11" s="3"/>
    </row>
    <row r="12" customFormat="false" ht="25.5" hidden="false" customHeight="true" outlineLevel="0" collapsed="false">
      <c r="B12" s="6" t="s">
        <v>13</v>
      </c>
      <c r="C12" s="5" t="s">
        <v>14</v>
      </c>
    </row>
    <row r="13" customFormat="false" ht="25.5" hidden="false" customHeight="true" outlineLevel="0" collapsed="false">
      <c r="B13" s="6" t="s">
        <v>15</v>
      </c>
      <c r="C13" s="5" t="s">
        <v>16</v>
      </c>
    </row>
    <row r="14" customFormat="false" ht="25.5" hidden="false" customHeight="true" outlineLevel="0" collapsed="false">
      <c r="B14" s="6" t="s">
        <v>17</v>
      </c>
      <c r="C14" s="5" t="s">
        <v>18</v>
      </c>
    </row>
    <row r="15" customFormat="false" ht="25.5" hidden="false" customHeight="true" outlineLevel="0" collapsed="false">
      <c r="B15" s="6" t="s">
        <v>19</v>
      </c>
      <c r="C15" s="5" t="s">
        <v>20</v>
      </c>
    </row>
    <row r="16" customFormat="false" ht="25.5" hidden="false" customHeight="true" outlineLevel="0" collapsed="false">
      <c r="B16" s="6" t="s">
        <v>21</v>
      </c>
      <c r="C16" s="5" t="s">
        <v>22</v>
      </c>
    </row>
    <row r="17" customFormat="false" ht="25.5" hidden="false" customHeight="true" outlineLevel="0" collapsed="false">
      <c r="B17" s="6" t="s">
        <v>23</v>
      </c>
      <c r="C17" s="5" t="s">
        <v>24</v>
      </c>
    </row>
    <row r="18" customFormat="false" ht="25.5" hidden="false" customHeight="true" outlineLevel="0" collapsed="false">
      <c r="B18" s="6" t="s">
        <v>25</v>
      </c>
      <c r="C18" s="5" t="s">
        <v>26</v>
      </c>
    </row>
    <row r="19" customFormat="false" ht="25.5" hidden="false" customHeight="true" outlineLevel="0" collapsed="false">
      <c r="B19" s="6" t="s">
        <v>27</v>
      </c>
      <c r="C19" s="5" t="s">
        <v>28</v>
      </c>
    </row>
    <row r="20" customFormat="false" ht="25.5" hidden="false" customHeight="true" outlineLevel="0" collapsed="false">
      <c r="B20" s="6" t="s">
        <v>29</v>
      </c>
      <c r="C20" s="5" t="s">
        <v>30</v>
      </c>
    </row>
    <row r="22" customFormat="false" ht="19.5" hidden="false" customHeight="true" outlineLevel="0" collapsed="false">
      <c r="A22" s="3" t="s">
        <v>31</v>
      </c>
      <c r="B22" s="3"/>
      <c r="C22" s="3"/>
    </row>
    <row r="23" customFormat="false" ht="19.5" hidden="false" customHeight="true" outlineLevel="0" collapsed="false">
      <c r="A23" s="7" t="s">
        <v>32</v>
      </c>
      <c r="B23" s="7"/>
      <c r="C23" s="7"/>
    </row>
    <row r="24" customFormat="false" ht="19.5" hidden="false" customHeight="true" outlineLevel="0" collapsed="false">
      <c r="A24" s="7"/>
      <c r="B24" s="7"/>
      <c r="C24" s="7"/>
    </row>
    <row r="25" customFormat="false" ht="19.5" hidden="false" customHeight="true" outlineLevel="0" collapsed="false">
      <c r="A25" s="7"/>
      <c r="B25" s="7"/>
      <c r="C25" s="7"/>
    </row>
    <row r="26" customFormat="false" ht="19.5" hidden="false" customHeight="true" outlineLevel="0" collapsed="false">
      <c r="A26" s="7"/>
      <c r="B26" s="7"/>
      <c r="C26" s="7"/>
    </row>
  </sheetData>
  <mergeCells count="5">
    <mergeCell ref="A1:C1"/>
    <mergeCell ref="A3:C3"/>
    <mergeCell ref="A11:C11"/>
    <mergeCell ref="A22:C22"/>
    <mergeCell ref="A23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4" min="3" style="1" width="16"/>
    <col collapsed="false" customWidth="true" hidden="false" outlineLevel="0" max="5" min="5" style="1" width="46"/>
  </cols>
  <sheetData>
    <row r="1" customFormat="false" ht="27.75" hidden="false" customHeight="true" outlineLevel="0" collapsed="false">
      <c r="A1" s="2" t="s">
        <v>13</v>
      </c>
      <c r="B1" s="2"/>
      <c r="C1" s="2"/>
      <c r="D1" s="2"/>
      <c r="E1" s="2"/>
    </row>
    <row r="3" customFormat="false" ht="19.5" hidden="false" customHeight="true" outlineLevel="0" collapsed="false">
      <c r="A3" s="3" t="s">
        <v>33</v>
      </c>
      <c r="B3" s="3"/>
      <c r="C3" s="3"/>
      <c r="D3" s="3"/>
      <c r="E3" s="3"/>
    </row>
    <row r="4" customFormat="false" ht="15" hidden="false" customHeight="false" outlineLevel="0" collapsed="false">
      <c r="B4" s="8" t="s">
        <v>34</v>
      </c>
      <c r="C4" s="9" t="s">
        <v>35</v>
      </c>
    </row>
    <row r="5" customFormat="false" ht="15" hidden="false" customHeight="false" outlineLevel="0" collapsed="false">
      <c r="B5" s="10" t="s">
        <v>36</v>
      </c>
      <c r="C5" s="11" t="n">
        <v>7043</v>
      </c>
    </row>
    <row r="6" customFormat="false" ht="15" hidden="false" customHeight="false" outlineLevel="0" collapsed="false">
      <c r="B6" s="10" t="s">
        <v>37</v>
      </c>
      <c r="C6" s="12" t="n">
        <v>21</v>
      </c>
    </row>
    <row r="8" customFormat="false" ht="15" hidden="false" customHeight="true" outlineLevel="0" collapsed="false">
      <c r="B8" s="13" t="s">
        <v>38</v>
      </c>
      <c r="C8" s="13"/>
      <c r="D8" s="13"/>
      <c r="E8" s="13"/>
    </row>
    <row r="10" customFormat="false" ht="19.5" hidden="false" customHeight="true" outlineLevel="0" collapsed="false">
      <c r="A10" s="3" t="s">
        <v>39</v>
      </c>
      <c r="B10" s="3"/>
      <c r="C10" s="3"/>
      <c r="D10" s="3"/>
      <c r="E10" s="3"/>
    </row>
    <row r="11" customFormat="false" ht="15" hidden="false" customHeight="false" outlineLevel="0" collapsed="false">
      <c r="B11" s="8" t="s">
        <v>40</v>
      </c>
      <c r="C11" s="9" t="s">
        <v>41</v>
      </c>
      <c r="D11" s="9" t="s">
        <v>42</v>
      </c>
    </row>
    <row r="12" customFormat="false" ht="15" hidden="false" customHeight="false" outlineLevel="0" collapsed="false">
      <c r="B12" s="14" t="s">
        <v>43</v>
      </c>
      <c r="C12" s="15" t="n">
        <v>5174</v>
      </c>
      <c r="D12" s="16" t="n">
        <f aca="false">C12/(C12+C13)</f>
        <v>0.734630129206304</v>
      </c>
    </row>
    <row r="13" customFormat="false" ht="15" hidden="false" customHeight="false" outlineLevel="0" collapsed="false">
      <c r="B13" s="10" t="s">
        <v>44</v>
      </c>
      <c r="C13" s="11" t="n">
        <v>1869</v>
      </c>
      <c r="D13" s="17" t="n">
        <f aca="false">C13/(C12+C13)</f>
        <v>0.265369870793696</v>
      </c>
    </row>
    <row r="14" customFormat="false" ht="15" hidden="false" customHeight="false" outlineLevel="0" collapsed="false">
      <c r="B14" s="18" t="s">
        <v>45</v>
      </c>
      <c r="C14" s="19" t="n">
        <f aca="false">C12+C13</f>
        <v>7043</v>
      </c>
      <c r="D14" s="17" t="n">
        <f aca="false">C14/C14</f>
        <v>1</v>
      </c>
    </row>
    <row r="16" customFormat="false" ht="19.5" hidden="false" customHeight="true" outlineLevel="0" collapsed="false">
      <c r="A16" s="3" t="s">
        <v>46</v>
      </c>
      <c r="B16" s="3"/>
      <c r="C16" s="3"/>
      <c r="D16" s="3"/>
      <c r="E16" s="3"/>
    </row>
    <row r="17" customFormat="false" ht="19.5" hidden="false" customHeight="true" outlineLevel="0" collapsed="false">
      <c r="B17" s="20" t="s">
        <v>47</v>
      </c>
      <c r="C17" s="20"/>
      <c r="D17" s="20"/>
      <c r="E17" s="20"/>
    </row>
    <row r="18" customFormat="false" ht="19.5" hidden="false" customHeight="true" outlineLevel="0" collapsed="false">
      <c r="B18" s="20"/>
      <c r="C18" s="20"/>
      <c r="D18" s="20"/>
      <c r="E18" s="20"/>
    </row>
    <row r="19" customFormat="false" ht="19.5" hidden="false" customHeight="true" outlineLevel="0" collapsed="false">
      <c r="B19" s="20"/>
      <c r="C19" s="20"/>
      <c r="D19" s="20"/>
      <c r="E19" s="20"/>
    </row>
    <row r="21" customFormat="false" ht="15" hidden="false" customHeight="false" outlineLevel="0" collapsed="false">
      <c r="B21" s="8" t="s">
        <v>48</v>
      </c>
      <c r="C21" s="9" t="s">
        <v>35</v>
      </c>
      <c r="D21" s="9" t="s">
        <v>35</v>
      </c>
    </row>
    <row r="22" customFormat="false" ht="23.85" hidden="false" customHeight="false" outlineLevel="0" collapsed="false">
      <c r="B22" s="10" t="s">
        <v>49</v>
      </c>
      <c r="C22" s="12" t="n">
        <v>11</v>
      </c>
    </row>
    <row r="23" customFormat="false" ht="15" hidden="false" customHeight="false" outlineLevel="0" collapsed="false">
      <c r="B23" s="10" t="s">
        <v>50</v>
      </c>
      <c r="C23" s="11" t="n">
        <v>7043</v>
      </c>
    </row>
    <row r="24" customFormat="false" ht="15" hidden="false" customHeight="false" outlineLevel="0" collapsed="false">
      <c r="B24" s="18" t="s">
        <v>51</v>
      </c>
      <c r="C24" s="17" t="n">
        <f aca="false">C22/C23</f>
        <v>0.00156183444554877</v>
      </c>
    </row>
    <row r="25" customFormat="false" ht="32.8" hidden="false" customHeight="false" outlineLevel="0" collapsed="false">
      <c r="B25" s="10" t="s">
        <v>52</v>
      </c>
      <c r="C25" s="12" t="n">
        <v>0</v>
      </c>
      <c r="D25" s="21" t="s">
        <v>53</v>
      </c>
    </row>
    <row r="26" customFormat="false" ht="32.8" hidden="false" customHeight="false" outlineLevel="0" collapsed="false">
      <c r="B26" s="10" t="s">
        <v>54</v>
      </c>
      <c r="C26" s="22" t="s">
        <v>55</v>
      </c>
      <c r="D26" s="21" t="s">
        <v>56</v>
      </c>
    </row>
    <row r="28" customFormat="false" ht="15" hidden="false" customHeight="true" outlineLevel="0" collapsed="false">
      <c r="B28" s="13" t="s">
        <v>57</v>
      </c>
      <c r="C28" s="13"/>
      <c r="D28" s="13"/>
      <c r="E28" s="13"/>
    </row>
    <row r="29" customFormat="false" ht="15" hidden="false" customHeight="false" outlineLevel="0" collapsed="false">
      <c r="B29" s="13"/>
      <c r="C29" s="13"/>
      <c r="D29" s="13"/>
      <c r="E29" s="13"/>
    </row>
    <row r="30" customFormat="false" ht="15" hidden="false" customHeight="false" outlineLevel="0" collapsed="false">
      <c r="B30" s="13"/>
      <c r="C30" s="13"/>
      <c r="D30" s="13"/>
      <c r="E30" s="13"/>
    </row>
  </sheetData>
  <mergeCells count="7">
    <mergeCell ref="A1:E1"/>
    <mergeCell ref="A3:E3"/>
    <mergeCell ref="B8:E8"/>
    <mergeCell ref="A10:E10"/>
    <mergeCell ref="A16:E16"/>
    <mergeCell ref="B17:E19"/>
    <mergeCell ref="B28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40"/>
  </cols>
  <sheetData>
    <row r="1" customFormat="false" ht="27.75" hidden="false" customHeight="true" outlineLevel="0" collapsed="false">
      <c r="A1" s="2" t="s">
        <v>58</v>
      </c>
      <c r="B1" s="2"/>
      <c r="C1" s="2"/>
      <c r="D1" s="2"/>
      <c r="E1" s="2"/>
    </row>
    <row r="3" customFormat="false" ht="19.5" hidden="false" customHeight="true" outlineLevel="0" collapsed="false">
      <c r="A3" s="3" t="s">
        <v>59</v>
      </c>
      <c r="B3" s="3"/>
      <c r="C3" s="3"/>
      <c r="D3" s="3"/>
      <c r="E3" s="3"/>
    </row>
    <row r="4" customFormat="false" ht="15" hidden="false" customHeight="false" outlineLevel="0" collapsed="false">
      <c r="B4" s="8" t="s">
        <v>60</v>
      </c>
      <c r="C4" s="9" t="s">
        <v>61</v>
      </c>
      <c r="D4" s="9" t="s">
        <v>62</v>
      </c>
    </row>
    <row r="5" customFormat="false" ht="15" hidden="false" customHeight="false" outlineLevel="0" collapsed="false">
      <c r="B5" s="14" t="s">
        <v>63</v>
      </c>
      <c r="C5" s="23" t="n">
        <v>0.427097</v>
      </c>
      <c r="D5" s="15" t="n">
        <v>3875</v>
      </c>
    </row>
    <row r="6" customFormat="false" ht="15" hidden="false" customHeight="false" outlineLevel="0" collapsed="false">
      <c r="B6" s="10" t="s">
        <v>64</v>
      </c>
      <c r="C6" s="24" t="n">
        <v>0.112695</v>
      </c>
      <c r="D6" s="11" t="n">
        <v>1473</v>
      </c>
    </row>
    <row r="7" customFormat="false" ht="15" hidden="false" customHeight="false" outlineLevel="0" collapsed="false">
      <c r="B7" s="14" t="s">
        <v>65</v>
      </c>
      <c r="C7" s="23" t="n">
        <v>0.028319</v>
      </c>
      <c r="D7" s="15" t="n">
        <v>1695</v>
      </c>
    </row>
    <row r="8" customFormat="false" ht="15" hidden="false" customHeight="false" outlineLevel="0" collapsed="false">
      <c r="B8" s="10" t="s">
        <v>66</v>
      </c>
      <c r="C8" s="24" t="n">
        <v>0.418928</v>
      </c>
      <c r="D8" s="11" t="n">
        <v>3096</v>
      </c>
    </row>
    <row r="9" customFormat="false" ht="15" hidden="false" customHeight="false" outlineLevel="0" collapsed="false">
      <c r="B9" s="14" t="s">
        <v>67</v>
      </c>
      <c r="C9" s="23" t="n">
        <v>0.189591</v>
      </c>
      <c r="D9" s="15" t="n">
        <v>2421</v>
      </c>
    </row>
    <row r="10" customFormat="false" ht="15" hidden="false" customHeight="false" outlineLevel="0" collapsed="false">
      <c r="B10" s="10" t="s">
        <v>68</v>
      </c>
      <c r="C10" s="24" t="n">
        <v>0.07405</v>
      </c>
      <c r="D10" s="11" t="n">
        <v>1526</v>
      </c>
    </row>
    <row r="11" customFormat="false" ht="23.85" hidden="false" customHeight="false" outlineLevel="0" collapsed="false">
      <c r="B11" s="14" t="s">
        <v>69</v>
      </c>
      <c r="C11" s="23" t="n">
        <v>0.452854</v>
      </c>
      <c r="D11" s="15" t="n">
        <v>2365</v>
      </c>
    </row>
    <row r="12" customFormat="false" ht="15" hidden="false" customHeight="false" outlineLevel="0" collapsed="false">
      <c r="B12" s="10" t="s">
        <v>70</v>
      </c>
      <c r="C12" s="24" t="n">
        <v>0.191067</v>
      </c>
      <c r="D12" s="11" t="n">
        <v>1612</v>
      </c>
    </row>
    <row r="13" customFormat="false" ht="23.85" hidden="false" customHeight="false" outlineLevel="0" collapsed="false">
      <c r="B13" s="14" t="s">
        <v>71</v>
      </c>
      <c r="C13" s="23" t="n">
        <v>0.167098</v>
      </c>
      <c r="D13" s="15" t="n">
        <v>1544</v>
      </c>
    </row>
    <row r="14" customFormat="false" ht="23.85" hidden="false" customHeight="false" outlineLevel="0" collapsed="false">
      <c r="B14" s="10" t="s">
        <v>72</v>
      </c>
      <c r="C14" s="24" t="n">
        <v>0.152431</v>
      </c>
      <c r="D14" s="11" t="n">
        <v>1522</v>
      </c>
    </row>
    <row r="15" customFormat="false" ht="15" hidden="false" customHeight="false" outlineLevel="0" collapsed="false">
      <c r="B15" s="14" t="s">
        <v>73</v>
      </c>
      <c r="C15" s="23" t="n">
        <v>0.416813</v>
      </c>
      <c r="D15" s="15" t="n">
        <v>1142</v>
      </c>
    </row>
    <row r="16" customFormat="false" ht="15" hidden="false" customHeight="false" outlineLevel="0" collapsed="false">
      <c r="B16" s="10" t="s">
        <v>74</v>
      </c>
      <c r="C16" s="24" t="n">
        <v>0.236062</v>
      </c>
      <c r="D16" s="11" t="n">
        <v>5901</v>
      </c>
    </row>
    <row r="17" customFormat="false" ht="15" hidden="false" customHeight="false" outlineLevel="0" collapsed="false">
      <c r="B17" s="14" t="s">
        <v>75</v>
      </c>
      <c r="C17" s="23" t="n">
        <v>0.32958</v>
      </c>
      <c r="D17" s="15" t="n">
        <v>3641</v>
      </c>
    </row>
    <row r="18" customFormat="false" ht="15" hidden="false" customHeight="false" outlineLevel="0" collapsed="false">
      <c r="B18" s="10" t="s">
        <v>76</v>
      </c>
      <c r="C18" s="24" t="n">
        <v>0.196649</v>
      </c>
      <c r="D18" s="11" t="n">
        <v>3402</v>
      </c>
    </row>
    <row r="19" customFormat="false" ht="15" hidden="false" customHeight="false" outlineLevel="0" collapsed="false">
      <c r="B19" s="14" t="s">
        <v>77</v>
      </c>
      <c r="C19" s="23" t="n">
        <v>0.312791</v>
      </c>
      <c r="D19" s="15" t="n">
        <v>4933</v>
      </c>
    </row>
    <row r="20" customFormat="false" ht="15" hidden="false" customHeight="false" outlineLevel="0" collapsed="false">
      <c r="B20" s="10" t="s">
        <v>78</v>
      </c>
      <c r="C20" s="24" t="n">
        <v>0.154502</v>
      </c>
      <c r="D20" s="11" t="n">
        <v>2110</v>
      </c>
    </row>
    <row r="22" customFormat="false" ht="15" hidden="false" customHeight="true" outlineLevel="0" collapsed="false">
      <c r="B22" s="13" t="s">
        <v>79</v>
      </c>
      <c r="C22" s="13"/>
      <c r="D22" s="13"/>
      <c r="E22" s="13"/>
    </row>
    <row r="23" customFormat="false" ht="15" hidden="false" customHeight="false" outlineLevel="0" collapsed="false">
      <c r="B23" s="13"/>
      <c r="C23" s="13"/>
      <c r="D23" s="13"/>
      <c r="E23" s="13"/>
    </row>
    <row r="25" customFormat="false" ht="19.5" hidden="false" customHeight="true" outlineLevel="0" collapsed="false">
      <c r="A25" s="3" t="s">
        <v>80</v>
      </c>
      <c r="B25" s="3"/>
      <c r="C25" s="3"/>
      <c r="D25" s="3"/>
      <c r="E25" s="3"/>
    </row>
    <row r="26" customFormat="false" ht="23.85" hidden="false" customHeight="false" outlineLevel="0" collapsed="false">
      <c r="B26" s="8" t="s">
        <v>81</v>
      </c>
      <c r="C26" s="9" t="s">
        <v>82</v>
      </c>
      <c r="D26" s="9" t="s">
        <v>83</v>
      </c>
      <c r="E26" s="9" t="s">
        <v>84</v>
      </c>
    </row>
    <row r="27" customFormat="false" ht="15" hidden="false" customHeight="false" outlineLevel="0" collapsed="false">
      <c r="B27" s="10" t="s">
        <v>85</v>
      </c>
      <c r="C27" s="25" t="n">
        <v>37.569965</v>
      </c>
      <c r="D27" s="25" t="n">
        <v>17.979133</v>
      </c>
      <c r="E27" s="26" t="n">
        <f aca="false">D27-C27</f>
        <v>-19.590832</v>
      </c>
    </row>
    <row r="28" customFormat="false" ht="15" hidden="false" customHeight="false" outlineLevel="0" collapsed="false">
      <c r="B28" s="10" t="s">
        <v>86</v>
      </c>
      <c r="C28" s="27" t="n">
        <v>61.265124</v>
      </c>
      <c r="D28" s="27" t="n">
        <v>74.441332</v>
      </c>
      <c r="E28" s="28" t="n">
        <f aca="false">D28-C28</f>
        <v>13.176208</v>
      </c>
    </row>
    <row r="29" customFormat="false" ht="15" hidden="false" customHeight="false" outlineLevel="0" collapsed="false">
      <c r="B29" s="10" t="s">
        <v>87</v>
      </c>
      <c r="C29" s="27" t="n">
        <v>2549.911442</v>
      </c>
      <c r="D29" s="27" t="n">
        <v>1531.796094</v>
      </c>
      <c r="E29" s="28" t="n">
        <f aca="false">D29-C29</f>
        <v>-1018.115348</v>
      </c>
    </row>
    <row r="31" customFormat="false" ht="15" hidden="false" customHeight="true" outlineLevel="0" collapsed="false">
      <c r="B31" s="13" t="s">
        <v>88</v>
      </c>
      <c r="C31" s="13"/>
      <c r="D31" s="13"/>
      <c r="E31" s="13"/>
    </row>
    <row r="32" customFormat="false" ht="15" hidden="false" customHeight="false" outlineLevel="0" collapsed="false">
      <c r="B32" s="13"/>
      <c r="C32" s="13"/>
      <c r="D32" s="13"/>
      <c r="E32" s="13"/>
    </row>
    <row r="33" customFormat="false" ht="15" hidden="false" customHeight="false" outlineLevel="0" collapsed="false">
      <c r="B33" s="13"/>
      <c r="C33" s="13"/>
      <c r="D33" s="13"/>
      <c r="E33" s="13"/>
    </row>
  </sheetData>
  <mergeCells count="5">
    <mergeCell ref="A1:E1"/>
    <mergeCell ref="A3:E3"/>
    <mergeCell ref="B22:E23"/>
    <mergeCell ref="A25:E25"/>
    <mergeCell ref="B31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5" min="3" style="1" width="14"/>
    <col collapsed="false" customWidth="true" hidden="false" outlineLevel="0" max="6" min="6" style="1" width="40"/>
  </cols>
  <sheetData>
    <row r="1" customFormat="false" ht="27.75" hidden="false" customHeight="true" outlineLevel="0" collapsed="false">
      <c r="A1" s="2" t="s">
        <v>89</v>
      </c>
      <c r="B1" s="2"/>
      <c r="C1" s="2"/>
      <c r="D1" s="2"/>
      <c r="E1" s="2"/>
      <c r="F1" s="2"/>
    </row>
    <row r="3" customFormat="false" ht="19.5" hidden="false" customHeight="true" outlineLevel="0" collapsed="false">
      <c r="A3" s="3" t="s">
        <v>90</v>
      </c>
      <c r="B3" s="3"/>
      <c r="C3" s="3"/>
      <c r="D3" s="3"/>
      <c r="E3" s="3"/>
      <c r="F3" s="3"/>
    </row>
    <row r="4" customFormat="false" ht="15" hidden="false" customHeight="false" outlineLevel="0" collapsed="false">
      <c r="B4" s="8" t="s">
        <v>91</v>
      </c>
      <c r="C4" s="9" t="s">
        <v>62</v>
      </c>
      <c r="D4" s="9" t="s">
        <v>92</v>
      </c>
      <c r="E4" s="9" t="s">
        <v>61</v>
      </c>
    </row>
    <row r="5" customFormat="false" ht="15" hidden="false" customHeight="false" outlineLevel="0" collapsed="false">
      <c r="B5" s="10" t="s">
        <v>93</v>
      </c>
      <c r="C5" s="11" t="n">
        <v>4930</v>
      </c>
      <c r="D5" s="29" t="n">
        <f aca="false">C5/SUM($C$5:$C$6)</f>
        <v>0.69998580150504</v>
      </c>
      <c r="E5" s="24" t="n">
        <v>0.265314</v>
      </c>
    </row>
    <row r="6" customFormat="false" ht="15" hidden="false" customHeight="false" outlineLevel="0" collapsed="false">
      <c r="B6" s="10" t="s">
        <v>94</v>
      </c>
      <c r="C6" s="11" t="n">
        <v>2113</v>
      </c>
      <c r="D6" s="29" t="n">
        <f aca="false">C6/SUM($C$5:$C$6)</f>
        <v>0.30001419849496</v>
      </c>
      <c r="E6" s="24" t="n">
        <v>0.265499</v>
      </c>
    </row>
    <row r="8" customFormat="false" ht="15" hidden="false" customHeight="true" outlineLevel="0" collapsed="false">
      <c r="B8" s="13" t="s">
        <v>95</v>
      </c>
      <c r="C8" s="13"/>
      <c r="D8" s="13"/>
      <c r="E8" s="13"/>
      <c r="F8" s="13"/>
    </row>
    <row r="9" customFormat="false" ht="15" hidden="false" customHeight="false" outlineLevel="0" collapsed="false">
      <c r="B9" s="13"/>
      <c r="C9" s="13"/>
      <c r="D9" s="13"/>
      <c r="E9" s="13"/>
      <c r="F9" s="13"/>
    </row>
    <row r="10" customFormat="false" ht="15" hidden="false" customHeight="false" outlineLevel="0" collapsed="false">
      <c r="B10" s="13"/>
      <c r="C10" s="13"/>
      <c r="D10" s="13"/>
      <c r="E10" s="13"/>
      <c r="F10" s="13"/>
    </row>
    <row r="12" customFormat="false" ht="19.5" hidden="false" customHeight="true" outlineLevel="0" collapsed="false">
      <c r="A12" s="3" t="s">
        <v>96</v>
      </c>
      <c r="B12" s="3"/>
      <c r="C12" s="3"/>
      <c r="D12" s="3"/>
      <c r="E12" s="3"/>
      <c r="F12" s="3"/>
    </row>
    <row r="13" customFormat="false" ht="22.35" hidden="false" customHeight="true" outlineLevel="0" collapsed="false">
      <c r="B13" s="13" t="s">
        <v>97</v>
      </c>
      <c r="C13" s="13"/>
      <c r="D13" s="13"/>
      <c r="E13" s="13"/>
      <c r="F13" s="13"/>
    </row>
    <row r="15" customFormat="false" ht="15" hidden="false" customHeight="false" outlineLevel="0" collapsed="false">
      <c r="B15" s="8" t="s">
        <v>85</v>
      </c>
      <c r="C15" s="9" t="s">
        <v>98</v>
      </c>
      <c r="D15" s="9" t="s">
        <v>99</v>
      </c>
      <c r="E15" s="9" t="s">
        <v>41</v>
      </c>
    </row>
    <row r="16" customFormat="false" ht="15" hidden="false" customHeight="false" outlineLevel="0" collapsed="false">
      <c r="B16" s="10" t="s">
        <v>100</v>
      </c>
      <c r="C16" s="22" t="n">
        <v>0</v>
      </c>
      <c r="D16" s="22" t="n">
        <v>9</v>
      </c>
      <c r="E16" s="11" t="n">
        <v>1854</v>
      </c>
    </row>
    <row r="17" customFormat="false" ht="15" hidden="false" customHeight="false" outlineLevel="0" collapsed="false">
      <c r="B17" s="10" t="s">
        <v>101</v>
      </c>
      <c r="C17" s="22" t="n">
        <v>10</v>
      </c>
      <c r="D17" s="22" t="n">
        <v>29</v>
      </c>
      <c r="E17" s="11" t="n">
        <v>1715</v>
      </c>
    </row>
    <row r="18" customFormat="false" ht="15" hidden="false" customHeight="false" outlineLevel="0" collapsed="false">
      <c r="B18" s="10" t="s">
        <v>102</v>
      </c>
      <c r="C18" s="22" t="n">
        <v>30</v>
      </c>
      <c r="D18" s="22" t="n">
        <v>55</v>
      </c>
      <c r="E18" s="11" t="n">
        <v>1719</v>
      </c>
    </row>
    <row r="19" customFormat="false" ht="15" hidden="false" customHeight="false" outlineLevel="0" collapsed="false">
      <c r="B19" s="10" t="s">
        <v>103</v>
      </c>
      <c r="C19" s="22" t="n">
        <v>56</v>
      </c>
      <c r="D19" s="22" t="n">
        <v>72</v>
      </c>
      <c r="E19" s="11" t="n">
        <v>1755</v>
      </c>
    </row>
    <row r="21" customFormat="false" ht="15" hidden="false" customHeight="false" outlineLevel="0" collapsed="false">
      <c r="B21" s="8" t="s">
        <v>86</v>
      </c>
      <c r="C21" s="9" t="s">
        <v>98</v>
      </c>
      <c r="D21" s="9" t="s">
        <v>99</v>
      </c>
      <c r="E21" s="9" t="s">
        <v>41</v>
      </c>
    </row>
    <row r="22" customFormat="false" ht="15" hidden="false" customHeight="false" outlineLevel="0" collapsed="false">
      <c r="B22" s="10" t="s">
        <v>100</v>
      </c>
      <c r="C22" s="22" t="n">
        <v>18.25</v>
      </c>
      <c r="D22" s="22" t="n">
        <v>35.5</v>
      </c>
      <c r="E22" s="11" t="n">
        <v>1762</v>
      </c>
    </row>
    <row r="23" customFormat="false" ht="15" hidden="false" customHeight="false" outlineLevel="0" collapsed="false">
      <c r="B23" s="10" t="s">
        <v>101</v>
      </c>
      <c r="C23" s="22" t="n">
        <v>35.55</v>
      </c>
      <c r="D23" s="22" t="n">
        <v>70.35</v>
      </c>
      <c r="E23" s="11" t="n">
        <v>1766</v>
      </c>
    </row>
    <row r="24" customFormat="false" ht="15" hidden="false" customHeight="false" outlineLevel="0" collapsed="false">
      <c r="B24" s="10" t="s">
        <v>102</v>
      </c>
      <c r="C24" s="22" t="n">
        <v>70.4</v>
      </c>
      <c r="D24" s="22" t="n">
        <v>89.85</v>
      </c>
      <c r="E24" s="11" t="n">
        <v>1757</v>
      </c>
    </row>
    <row r="25" customFormat="false" ht="15" hidden="false" customHeight="false" outlineLevel="0" collapsed="false">
      <c r="B25" s="10" t="s">
        <v>103</v>
      </c>
      <c r="C25" s="22" t="n">
        <v>89.9</v>
      </c>
      <c r="D25" s="22" t="n">
        <v>118.75</v>
      </c>
      <c r="E25" s="11" t="n">
        <v>1758</v>
      </c>
    </row>
    <row r="27" customFormat="false" ht="15" hidden="false" customHeight="false" outlineLevel="0" collapsed="false">
      <c r="B27" s="8" t="s">
        <v>87</v>
      </c>
      <c r="C27" s="9" t="s">
        <v>98</v>
      </c>
      <c r="D27" s="9" t="s">
        <v>99</v>
      </c>
      <c r="E27" s="9" t="s">
        <v>41</v>
      </c>
    </row>
    <row r="28" customFormat="false" ht="15" hidden="false" customHeight="false" outlineLevel="0" collapsed="false">
      <c r="B28" s="10" t="s">
        <v>100</v>
      </c>
      <c r="C28" s="22" t="n">
        <v>0</v>
      </c>
      <c r="D28" s="22" t="n">
        <v>398.55</v>
      </c>
      <c r="E28" s="11" t="n">
        <v>1762</v>
      </c>
    </row>
    <row r="29" customFormat="false" ht="15" hidden="false" customHeight="false" outlineLevel="0" collapsed="false">
      <c r="B29" s="10" t="s">
        <v>101</v>
      </c>
      <c r="C29" s="22" t="n">
        <v>399.25</v>
      </c>
      <c r="D29" s="22" t="n">
        <v>1394.55</v>
      </c>
      <c r="E29" s="11" t="n">
        <v>1760</v>
      </c>
    </row>
    <row r="30" customFormat="false" ht="15" hidden="false" customHeight="false" outlineLevel="0" collapsed="false">
      <c r="B30" s="10" t="s">
        <v>102</v>
      </c>
      <c r="C30" s="22" t="n">
        <v>1395.05</v>
      </c>
      <c r="D30" s="22" t="n">
        <v>3784</v>
      </c>
      <c r="E30" s="11" t="n">
        <v>1760</v>
      </c>
    </row>
    <row r="31" customFormat="false" ht="15" hidden="false" customHeight="false" outlineLevel="0" collapsed="false">
      <c r="B31" s="10" t="s">
        <v>103</v>
      </c>
      <c r="C31" s="22" t="n">
        <v>3789.2</v>
      </c>
      <c r="D31" s="22" t="n">
        <v>8684.8</v>
      </c>
      <c r="E31" s="11" t="n">
        <v>1761</v>
      </c>
    </row>
  </sheetData>
  <mergeCells count="5">
    <mergeCell ref="A1:F1"/>
    <mergeCell ref="A3:F3"/>
    <mergeCell ref="B8:F10"/>
    <mergeCell ref="A12:F12"/>
    <mergeCell ref="B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5" min="3" style="1" width="13"/>
    <col collapsed="false" customWidth="true" hidden="false" outlineLevel="0" max="6" min="6" style="1" width="11"/>
    <col collapsed="false" customWidth="true" hidden="false" outlineLevel="0" max="8" min="7" style="1" width="16"/>
  </cols>
  <sheetData>
    <row r="1" customFormat="false" ht="27.75" hidden="false" customHeight="true" outlineLevel="0" collapsed="false">
      <c r="A1" s="2" t="s">
        <v>104</v>
      </c>
      <c r="B1" s="2"/>
      <c r="C1" s="2"/>
      <c r="D1" s="2"/>
      <c r="E1" s="2"/>
      <c r="F1" s="2"/>
      <c r="G1" s="2"/>
      <c r="H1" s="2"/>
    </row>
    <row r="3" customFormat="false" ht="19.5" hidden="false" customHeight="true" outlineLevel="0" collapsed="false">
      <c r="A3" s="3" t="s">
        <v>105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B4" s="8" t="s">
        <v>106</v>
      </c>
      <c r="C4" s="9" t="s">
        <v>107</v>
      </c>
      <c r="D4" s="9" t="s">
        <v>108</v>
      </c>
    </row>
    <row r="5" customFormat="false" ht="15" hidden="false" customHeight="false" outlineLevel="0" collapsed="false">
      <c r="B5" s="30" t="s">
        <v>109</v>
      </c>
      <c r="C5" s="31" t="n">
        <v>0.8449</v>
      </c>
      <c r="D5" s="31" t="n">
        <v>0.1363</v>
      </c>
    </row>
    <row r="6" customFormat="false" ht="23.85" hidden="false" customHeight="false" outlineLevel="0" collapsed="false">
      <c r="B6" s="10" t="s">
        <v>110</v>
      </c>
      <c r="C6" s="32" t="n">
        <v>0.8445</v>
      </c>
      <c r="D6" s="32" t="n">
        <v>0.1672</v>
      </c>
    </row>
    <row r="7" customFormat="false" ht="23.85" hidden="false" customHeight="false" outlineLevel="0" collapsed="false">
      <c r="B7" s="18" t="s">
        <v>111</v>
      </c>
      <c r="D7" s="33" t="n">
        <f aca="false">(D6-D5)/D5</f>
        <v>0.226705796038151</v>
      </c>
    </row>
    <row r="8" customFormat="false" ht="15" hidden="false" customHeight="true" outlineLevel="0" collapsed="false">
      <c r="B8" s="13" t="s">
        <v>112</v>
      </c>
      <c r="C8" s="13"/>
      <c r="D8" s="13"/>
      <c r="E8" s="13"/>
      <c r="F8" s="13"/>
      <c r="G8" s="13"/>
      <c r="H8" s="13"/>
    </row>
    <row r="9" customFormat="false" ht="15" hidden="false" customHeight="false" outlineLevel="0" collapsed="false">
      <c r="B9" s="13"/>
      <c r="C9" s="13"/>
      <c r="D9" s="13"/>
      <c r="E9" s="13"/>
      <c r="F9" s="13"/>
      <c r="G9" s="13"/>
      <c r="H9" s="13"/>
    </row>
    <row r="11" customFormat="false" ht="19.5" hidden="false" customHeight="true" outlineLevel="0" collapsed="false">
      <c r="A11" s="3" t="s">
        <v>113</v>
      </c>
      <c r="B11" s="3"/>
      <c r="C11" s="3"/>
      <c r="D11" s="3"/>
      <c r="E11" s="3"/>
      <c r="F11" s="3"/>
      <c r="G11" s="3"/>
      <c r="H11" s="3"/>
    </row>
    <row r="12" customFormat="false" ht="23.85" hidden="false" customHeight="false" outlineLevel="0" collapsed="false">
      <c r="B12" s="8" t="s">
        <v>114</v>
      </c>
      <c r="C12" s="9" t="s">
        <v>107</v>
      </c>
      <c r="D12" s="9" t="s">
        <v>115</v>
      </c>
      <c r="E12" s="9" t="s">
        <v>108</v>
      </c>
      <c r="F12" s="9" t="s">
        <v>116</v>
      </c>
      <c r="G12" s="9" t="s">
        <v>117</v>
      </c>
      <c r="H12" s="9" t="s">
        <v>118</v>
      </c>
    </row>
    <row r="13" customFormat="false" ht="15" hidden="false" customHeight="false" outlineLevel="0" collapsed="false">
      <c r="B13" s="30" t="s">
        <v>119</v>
      </c>
      <c r="C13" s="31" t="n">
        <v>0.844856</v>
      </c>
      <c r="D13" s="31" t="n">
        <v>0.642251</v>
      </c>
      <c r="E13" s="31" t="n">
        <v>0.136349</v>
      </c>
      <c r="F13" s="34" t="n">
        <v>30</v>
      </c>
      <c r="G13" s="35" t="n">
        <f aca="false">RANK(C13,$C$13:$C$17,0)</f>
        <v>1</v>
      </c>
      <c r="H13" s="36" t="n">
        <f aca="false">C13-$C$13</f>
        <v>0</v>
      </c>
    </row>
    <row r="14" customFormat="false" ht="15" hidden="false" customHeight="false" outlineLevel="0" collapsed="false">
      <c r="B14" s="10" t="s">
        <v>120</v>
      </c>
      <c r="C14" s="32" t="n">
        <v>0.828183</v>
      </c>
      <c r="D14" s="32" t="n">
        <v>0.598292</v>
      </c>
      <c r="E14" s="32" t="n">
        <v>0.17774</v>
      </c>
      <c r="F14" s="12" t="n">
        <v>19</v>
      </c>
      <c r="G14" s="37" t="n">
        <f aca="false">RANK(C14,$C$13:$C$17,0)</f>
        <v>2</v>
      </c>
      <c r="H14" s="38" t="n">
        <f aca="false">C14-$C$13</f>
        <v>-0.0166730000000001</v>
      </c>
    </row>
    <row r="15" customFormat="false" ht="15" hidden="false" customHeight="false" outlineLevel="0" collapsed="false">
      <c r="B15" s="10" t="s">
        <v>121</v>
      </c>
      <c r="C15" s="32" t="n">
        <v>0.826318</v>
      </c>
      <c r="D15" s="32" t="n">
        <v>0.595005</v>
      </c>
      <c r="E15" s="32" t="n">
        <v>0.165006</v>
      </c>
      <c r="F15" s="12" t="n">
        <v>5</v>
      </c>
      <c r="G15" s="37" t="n">
        <f aca="false">RANK(C15,$C$13:$C$17,0)</f>
        <v>3</v>
      </c>
      <c r="H15" s="38" t="n">
        <f aca="false">C15-$C$13</f>
        <v>-0.0185380000000001</v>
      </c>
    </row>
    <row r="16" customFormat="false" ht="15" hidden="false" customHeight="false" outlineLevel="0" collapsed="false">
      <c r="B16" s="10" t="s">
        <v>122</v>
      </c>
      <c r="C16" s="32" t="n">
        <v>0.824446</v>
      </c>
      <c r="D16" s="32" t="n">
        <v>0.581567</v>
      </c>
      <c r="E16" s="32" t="n">
        <v>0.144874</v>
      </c>
      <c r="F16" s="12" t="n">
        <v>18</v>
      </c>
      <c r="G16" s="37" t="n">
        <f aca="false">RANK(C16,$C$13:$C$17,0)</f>
        <v>4</v>
      </c>
      <c r="H16" s="38" t="n">
        <f aca="false">C16-$C$13</f>
        <v>-0.02041</v>
      </c>
    </row>
    <row r="17" customFormat="false" ht="15" hidden="false" customHeight="false" outlineLevel="0" collapsed="false">
      <c r="B17" s="10" t="s">
        <v>123</v>
      </c>
      <c r="C17" s="32" t="n">
        <v>0.814779</v>
      </c>
      <c r="D17" s="32" t="n">
        <v>0.616629</v>
      </c>
      <c r="E17" s="32" t="n">
        <v>0.225682</v>
      </c>
      <c r="F17" s="12" t="n">
        <v>19</v>
      </c>
      <c r="G17" s="37" t="n">
        <f aca="false">RANK(C17,$C$13:$C$17,0)</f>
        <v>5</v>
      </c>
      <c r="H17" s="38" t="n">
        <f aca="false">C17-$C$13</f>
        <v>-0.030077</v>
      </c>
    </row>
    <row r="19" customFormat="false" ht="15" hidden="false" customHeight="true" outlineLevel="0" collapsed="false">
      <c r="B19" s="13" t="s">
        <v>124</v>
      </c>
      <c r="C19" s="13"/>
      <c r="D19" s="13"/>
      <c r="E19" s="13"/>
      <c r="F19" s="13"/>
      <c r="G19" s="13"/>
      <c r="H19" s="13"/>
    </row>
    <row r="20" customFormat="false" ht="15" hidden="false" customHeight="false" outlineLevel="0" collapsed="false">
      <c r="B20" s="13"/>
      <c r="C20" s="13"/>
      <c r="D20" s="13"/>
      <c r="E20" s="13"/>
      <c r="F20" s="13"/>
      <c r="G20" s="13"/>
      <c r="H20" s="13"/>
    </row>
    <row r="22" customFormat="false" ht="15" hidden="false" customHeight="false" outlineLevel="0" collapsed="false">
      <c r="B22" s="8" t="s">
        <v>114</v>
      </c>
      <c r="C22" s="9" t="s">
        <v>107</v>
      </c>
      <c r="D22" s="9" t="s">
        <v>108</v>
      </c>
    </row>
    <row r="23" customFormat="false" ht="15" hidden="false" customHeight="false" outlineLevel="0" collapsed="false">
      <c r="B23" s="10" t="s">
        <v>119</v>
      </c>
      <c r="C23" s="39" t="n">
        <f aca="false">C13</f>
        <v>0.844856</v>
      </c>
      <c r="D23" s="39" t="n">
        <f aca="false">E13</f>
        <v>0.136349</v>
      </c>
    </row>
    <row r="24" customFormat="false" ht="15" hidden="false" customHeight="false" outlineLevel="0" collapsed="false">
      <c r="B24" s="10" t="s">
        <v>120</v>
      </c>
      <c r="C24" s="39" t="n">
        <f aca="false">C14</f>
        <v>0.828183</v>
      </c>
      <c r="D24" s="39" t="n">
        <f aca="false">E14</f>
        <v>0.17774</v>
      </c>
    </row>
    <row r="25" customFormat="false" ht="15" hidden="false" customHeight="false" outlineLevel="0" collapsed="false">
      <c r="B25" s="10" t="s">
        <v>121</v>
      </c>
      <c r="C25" s="39" t="n">
        <f aca="false">C15</f>
        <v>0.826318</v>
      </c>
      <c r="D25" s="39" t="n">
        <f aca="false">E15</f>
        <v>0.165006</v>
      </c>
    </row>
    <row r="26" customFormat="false" ht="15" hidden="false" customHeight="false" outlineLevel="0" collapsed="false">
      <c r="B26" s="10" t="s">
        <v>122</v>
      </c>
      <c r="C26" s="39" t="n">
        <f aca="false">C16</f>
        <v>0.824446</v>
      </c>
      <c r="D26" s="39" t="n">
        <f aca="false">E16</f>
        <v>0.144874</v>
      </c>
    </row>
    <row r="27" customFormat="false" ht="15" hidden="false" customHeight="false" outlineLevel="0" collapsed="false">
      <c r="B27" s="10" t="s">
        <v>123</v>
      </c>
      <c r="C27" s="39" t="n">
        <f aca="false">C17</f>
        <v>0.814779</v>
      </c>
      <c r="D27" s="39" t="n">
        <f aca="false">E17</f>
        <v>0.225682</v>
      </c>
    </row>
  </sheetData>
  <mergeCells count="5">
    <mergeCell ref="A1:H1"/>
    <mergeCell ref="A3:H3"/>
    <mergeCell ref="B8:H9"/>
    <mergeCell ref="A11:H11"/>
    <mergeCell ref="B19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5" min="3" style="1" width="16"/>
    <col collapsed="false" customWidth="true" hidden="false" outlineLevel="0" max="6" min="6" style="1" width="14"/>
    <col collapsed="false" customWidth="true" hidden="false" outlineLevel="0" max="7" min="7" style="1" width="40"/>
  </cols>
  <sheetData>
    <row r="1" customFormat="false" ht="27.75" hidden="false" customHeight="true" outlineLevel="0" collapsed="false">
      <c r="A1" s="2" t="s">
        <v>125</v>
      </c>
      <c r="B1" s="2"/>
      <c r="C1" s="2"/>
      <c r="D1" s="2"/>
      <c r="E1" s="2"/>
      <c r="F1" s="2"/>
      <c r="G1" s="2"/>
    </row>
    <row r="3" customFormat="false" ht="18" hidden="false" customHeight="true" outlineLevel="0" collapsed="false">
      <c r="B3" s="40" t="s">
        <v>126</v>
      </c>
      <c r="C3" s="40"/>
      <c r="D3" s="40"/>
      <c r="E3" s="40"/>
      <c r="F3" s="40"/>
      <c r="G3" s="40"/>
    </row>
    <row r="4" customFormat="false" ht="18" hidden="false" customHeight="true" outlineLevel="0" collapsed="false">
      <c r="B4" s="40"/>
      <c r="C4" s="40"/>
      <c r="D4" s="40"/>
      <c r="E4" s="40"/>
      <c r="F4" s="40"/>
      <c r="G4" s="40"/>
    </row>
    <row r="6" customFormat="false" ht="19.5" hidden="false" customHeight="true" outlineLevel="0" collapsed="false">
      <c r="A6" s="3" t="s">
        <v>127</v>
      </c>
      <c r="B6" s="3"/>
      <c r="C6" s="3"/>
      <c r="D6" s="3"/>
      <c r="E6" s="3"/>
      <c r="F6" s="3"/>
      <c r="G6" s="3"/>
    </row>
    <row r="7" customFormat="false" ht="18" hidden="false" customHeight="true" outlineLevel="0" collapsed="false">
      <c r="B7" s="41" t="s">
        <v>128</v>
      </c>
      <c r="C7" s="41"/>
      <c r="D7" s="41"/>
      <c r="E7" s="41"/>
      <c r="F7" s="41"/>
      <c r="G7" s="41"/>
    </row>
    <row r="8" customFormat="false" ht="18" hidden="false" customHeight="true" outlineLevel="0" collapsed="false">
      <c r="B8" s="41"/>
      <c r="C8" s="41"/>
      <c r="D8" s="41"/>
      <c r="E8" s="41"/>
      <c r="F8" s="41"/>
      <c r="G8" s="41"/>
    </row>
    <row r="9" customFormat="false" ht="18" hidden="false" customHeight="true" outlineLevel="0" collapsed="false">
      <c r="B9" s="41"/>
      <c r="C9" s="41"/>
      <c r="D9" s="41"/>
      <c r="E9" s="41"/>
      <c r="F9" s="41"/>
      <c r="G9" s="41"/>
    </row>
    <row r="11" customFormat="false" ht="23.85" hidden="false" customHeight="false" outlineLevel="0" collapsed="false">
      <c r="B11" s="8" t="s">
        <v>129</v>
      </c>
      <c r="C11" s="9" t="s">
        <v>130</v>
      </c>
      <c r="D11" s="9" t="s">
        <v>131</v>
      </c>
      <c r="E11" s="9" t="s">
        <v>132</v>
      </c>
      <c r="F11" s="9" t="s">
        <v>133</v>
      </c>
      <c r="G11" s="9" t="s">
        <v>134</v>
      </c>
    </row>
    <row r="12" customFormat="false" ht="15" hidden="false" customHeight="false" outlineLevel="0" collapsed="false">
      <c r="B12" s="10" t="s">
        <v>135</v>
      </c>
      <c r="C12" s="42" t="n">
        <v>0.017</v>
      </c>
      <c r="D12" s="42" t="n">
        <v>0.01</v>
      </c>
      <c r="E12" s="42" t="n">
        <v>0.0242</v>
      </c>
      <c r="F12" s="32" t="n">
        <v>0</v>
      </c>
      <c r="G12" s="43" t="str">
        <f aca="false">IF(OR(D12&gt;0,E12&lt;0),"Significant (H0 rejected)","Not significant")</f>
        <v>Significant (H0 rejected)</v>
      </c>
    </row>
    <row r="13" customFormat="false" ht="23.85" hidden="false" customHeight="false" outlineLevel="0" collapsed="false">
      <c r="B13" s="10" t="s">
        <v>136</v>
      </c>
      <c r="C13" s="42" t="n">
        <v>0.0187</v>
      </c>
      <c r="D13" s="42" t="n">
        <v>0.0104</v>
      </c>
      <c r="E13" s="42" t="n">
        <v>0.0268</v>
      </c>
      <c r="F13" s="32" t="n">
        <v>0</v>
      </c>
      <c r="G13" s="43" t="str">
        <f aca="false">IF(OR(D13&gt;0,E13&lt;0),"Significant (H0 rejected)","Not significant")</f>
        <v>Significant (H0 rejected)</v>
      </c>
    </row>
    <row r="14" customFormat="false" ht="15" hidden="false" customHeight="false" outlineLevel="0" collapsed="false">
      <c r="B14" s="10" t="s">
        <v>137</v>
      </c>
      <c r="C14" s="42" t="n">
        <v>0.0205</v>
      </c>
      <c r="D14" s="42" t="n">
        <v>0.0113</v>
      </c>
      <c r="E14" s="42" t="n">
        <v>0.0303</v>
      </c>
      <c r="F14" s="32" t="n">
        <v>0</v>
      </c>
      <c r="G14" s="43" t="str">
        <f aca="false">IF(OR(D14&gt;0,E14&lt;0),"Significant (H0 rejected)","Not significant")</f>
        <v>Significant (H0 rejected)</v>
      </c>
    </row>
    <row r="16" customFormat="false" ht="15" hidden="false" customHeight="true" outlineLevel="0" collapsed="false">
      <c r="B16" s="13" t="s">
        <v>138</v>
      </c>
      <c r="C16" s="13"/>
      <c r="D16" s="13"/>
      <c r="E16" s="13"/>
      <c r="F16" s="13"/>
      <c r="G16" s="13"/>
    </row>
    <row r="17" customFormat="false" ht="15" hidden="false" customHeight="false" outlineLevel="0" collapsed="false">
      <c r="B17" s="13"/>
      <c r="C17" s="13"/>
      <c r="D17" s="13"/>
      <c r="E17" s="13"/>
      <c r="F17" s="13"/>
      <c r="G17" s="13"/>
    </row>
    <row r="18" customFormat="false" ht="15" hidden="false" customHeight="false" outlineLevel="0" collapsed="false">
      <c r="B18" s="13"/>
      <c r="C18" s="13"/>
      <c r="D18" s="13"/>
      <c r="E18" s="13"/>
      <c r="F18" s="13"/>
      <c r="G18" s="13"/>
    </row>
    <row r="20" customFormat="false" ht="19.5" hidden="false" customHeight="true" outlineLevel="0" collapsed="false">
      <c r="A20" s="3" t="s">
        <v>139</v>
      </c>
      <c r="B20" s="3"/>
      <c r="C20" s="3"/>
      <c r="D20" s="3"/>
      <c r="E20" s="3"/>
      <c r="F20" s="3"/>
      <c r="G20" s="3"/>
    </row>
    <row r="21" customFormat="false" ht="18" hidden="false" customHeight="true" outlineLevel="0" collapsed="false">
      <c r="B21" s="41" t="s">
        <v>140</v>
      </c>
      <c r="C21" s="41"/>
      <c r="D21" s="41"/>
      <c r="E21" s="41"/>
      <c r="F21" s="41"/>
      <c r="G21" s="41"/>
    </row>
    <row r="22" customFormat="false" ht="18" hidden="false" customHeight="true" outlineLevel="0" collapsed="false">
      <c r="B22" s="41"/>
      <c r="C22" s="41"/>
      <c r="D22" s="41"/>
      <c r="E22" s="41"/>
      <c r="F22" s="41"/>
      <c r="G22" s="41"/>
    </row>
    <row r="23" customFormat="false" ht="18" hidden="false" customHeight="true" outlineLevel="0" collapsed="false">
      <c r="B23" s="41"/>
      <c r="C23" s="41"/>
      <c r="D23" s="41"/>
      <c r="E23" s="41"/>
      <c r="F23" s="41"/>
      <c r="G23" s="41"/>
    </row>
    <row r="24" customFormat="false" ht="18" hidden="false" customHeight="true" outlineLevel="0" collapsed="false">
      <c r="B24" s="41"/>
      <c r="C24" s="41"/>
      <c r="D24" s="41"/>
      <c r="E24" s="41"/>
      <c r="F24" s="41"/>
      <c r="G24" s="41"/>
    </row>
    <row r="25" customFormat="false" ht="18" hidden="false" customHeight="true" outlineLevel="0" collapsed="false">
      <c r="B25" s="41"/>
      <c r="C25" s="41"/>
      <c r="D25" s="41"/>
      <c r="E25" s="41"/>
      <c r="F25" s="41"/>
      <c r="G25" s="41"/>
    </row>
  </sheetData>
  <mergeCells count="7">
    <mergeCell ref="A1:G1"/>
    <mergeCell ref="B3:G4"/>
    <mergeCell ref="A6:G6"/>
    <mergeCell ref="B7:G9"/>
    <mergeCell ref="B16:G18"/>
    <mergeCell ref="A20:G20"/>
    <mergeCell ref="B21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5" min="3" style="1" width="13"/>
    <col collapsed="false" customWidth="true" hidden="false" outlineLevel="0" max="6" min="6" style="1" width="16"/>
    <col collapsed="false" customWidth="true" hidden="false" outlineLevel="0" max="7" min="7" style="1" width="40"/>
  </cols>
  <sheetData>
    <row r="1" customFormat="false" ht="27.75" hidden="false" customHeight="true" outlineLevel="0" collapsed="false">
      <c r="A1" s="2" t="s">
        <v>141</v>
      </c>
      <c r="B1" s="2"/>
      <c r="C1" s="2"/>
      <c r="D1" s="2"/>
      <c r="E1" s="2"/>
      <c r="F1" s="2"/>
      <c r="G1" s="2"/>
    </row>
    <row r="3" customFormat="false" ht="19.5" hidden="false" customHeight="true" outlineLevel="0" collapsed="false">
      <c r="A3" s="3" t="s">
        <v>142</v>
      </c>
      <c r="B3" s="3"/>
      <c r="C3" s="3"/>
      <c r="D3" s="3"/>
      <c r="E3" s="3"/>
      <c r="F3" s="3"/>
      <c r="G3" s="3"/>
    </row>
    <row r="4" customFormat="false" ht="23.85" hidden="false" customHeight="false" outlineLevel="0" collapsed="false">
      <c r="B4" s="8" t="s">
        <v>114</v>
      </c>
      <c r="C4" s="9" t="s">
        <v>116</v>
      </c>
      <c r="D4" s="9" t="s">
        <v>143</v>
      </c>
      <c r="E4" s="9" t="s">
        <v>144</v>
      </c>
      <c r="F4" s="9" t="s">
        <v>145</v>
      </c>
    </row>
    <row r="5" customFormat="false" ht="15" hidden="false" customHeight="false" outlineLevel="0" collapsed="false">
      <c r="B5" s="10" t="s">
        <v>119</v>
      </c>
      <c r="C5" s="12" t="n">
        <v>30</v>
      </c>
      <c r="D5" s="12" t="s">
        <v>146</v>
      </c>
      <c r="E5" s="12" t="s">
        <v>146</v>
      </c>
      <c r="F5" s="12" t="s">
        <v>146</v>
      </c>
    </row>
    <row r="6" customFormat="false" ht="15" hidden="false" customHeight="false" outlineLevel="0" collapsed="false">
      <c r="B6" s="10" t="s">
        <v>123</v>
      </c>
      <c r="C6" s="12" t="n">
        <v>19</v>
      </c>
      <c r="D6" s="12" t="n">
        <v>19</v>
      </c>
      <c r="E6" s="12" t="n">
        <v>1</v>
      </c>
      <c r="F6" s="12" t="n">
        <v>19</v>
      </c>
    </row>
    <row r="7" customFormat="false" ht="15" hidden="false" customHeight="false" outlineLevel="0" collapsed="false">
      <c r="B7" s="10" t="s">
        <v>121</v>
      </c>
      <c r="C7" s="12" t="n">
        <v>5</v>
      </c>
      <c r="D7" s="12" t="n">
        <v>5</v>
      </c>
      <c r="E7" s="12" t="n">
        <v>1</v>
      </c>
      <c r="F7" s="12" t="n">
        <v>5</v>
      </c>
    </row>
    <row r="8" customFormat="false" ht="15" hidden="false" customHeight="false" outlineLevel="0" collapsed="false">
      <c r="B8" s="10" t="s">
        <v>120</v>
      </c>
      <c r="C8" s="12" t="n">
        <v>19</v>
      </c>
      <c r="D8" s="12" t="n">
        <v>37</v>
      </c>
      <c r="E8" s="12" t="n">
        <v>2</v>
      </c>
      <c r="F8" s="12" t="n">
        <v>19</v>
      </c>
    </row>
    <row r="9" customFormat="false" ht="15" hidden="false" customHeight="false" outlineLevel="0" collapsed="false">
      <c r="B9" s="10" t="s">
        <v>122</v>
      </c>
      <c r="C9" s="12" t="n">
        <v>18</v>
      </c>
      <c r="D9" s="12" t="n">
        <v>38</v>
      </c>
      <c r="E9" s="12" t="n">
        <v>3</v>
      </c>
      <c r="F9" s="12" t="n">
        <v>5</v>
      </c>
    </row>
    <row r="11" customFormat="false" ht="15" hidden="false" customHeight="true" outlineLevel="0" collapsed="false">
      <c r="B11" s="13" t="s">
        <v>147</v>
      </c>
      <c r="C11" s="13"/>
      <c r="D11" s="13"/>
      <c r="E11" s="13"/>
      <c r="F11" s="13"/>
      <c r="G11" s="13"/>
    </row>
    <row r="12" customFormat="false" ht="15" hidden="false" customHeight="false" outlineLevel="0" collapsed="false">
      <c r="B12" s="13"/>
      <c r="C12" s="13"/>
      <c r="D12" s="13"/>
      <c r="E12" s="13"/>
      <c r="F12" s="13"/>
      <c r="G12" s="13"/>
    </row>
    <row r="13" customFormat="false" ht="15" hidden="false" customHeight="false" outlineLevel="0" collapsed="false">
      <c r="B13" s="13"/>
      <c r="C13" s="13"/>
      <c r="D13" s="13"/>
      <c r="E13" s="13"/>
      <c r="F13" s="13"/>
      <c r="G13" s="13"/>
    </row>
    <row r="15" customFormat="false" ht="19.5" hidden="false" customHeight="true" outlineLevel="0" collapsed="false">
      <c r="A15" s="3" t="s">
        <v>148</v>
      </c>
      <c r="B15" s="3"/>
      <c r="C15" s="3"/>
      <c r="D15" s="3"/>
      <c r="E15" s="3"/>
      <c r="F15" s="3"/>
      <c r="G15" s="3"/>
    </row>
    <row r="16" customFormat="false" ht="23.85" hidden="false" customHeight="false" outlineLevel="0" collapsed="false">
      <c r="B16" s="8" t="s">
        <v>149</v>
      </c>
      <c r="C16" s="9" t="s">
        <v>150</v>
      </c>
    </row>
    <row r="17" customFormat="false" ht="46.25" hidden="false" customHeight="false" outlineLevel="0" collapsed="false">
      <c r="B17" s="30" t="s">
        <v>151</v>
      </c>
      <c r="C17" s="30" t="s">
        <v>152</v>
      </c>
    </row>
    <row r="18" customFormat="false" ht="57.45" hidden="false" customHeight="false" outlineLevel="0" collapsed="false">
      <c r="B18" s="30" t="s">
        <v>153</v>
      </c>
      <c r="C18" s="30" t="s">
        <v>154</v>
      </c>
    </row>
    <row r="19" customFormat="false" ht="57.45" hidden="false" customHeight="false" outlineLevel="0" collapsed="false">
      <c r="B19" s="30" t="s">
        <v>155</v>
      </c>
      <c r="C19" s="30" t="s">
        <v>156</v>
      </c>
    </row>
    <row r="20" customFormat="false" ht="46.25" hidden="false" customHeight="false" outlineLevel="0" collapsed="false">
      <c r="B20" s="30" t="s">
        <v>157</v>
      </c>
      <c r="C20" s="30" t="s">
        <v>158</v>
      </c>
    </row>
    <row r="21" customFormat="false" ht="46.25" hidden="false" customHeight="false" outlineLevel="0" collapsed="false">
      <c r="B21" s="30" t="s">
        <v>159</v>
      </c>
      <c r="C21" s="30" t="s">
        <v>160</v>
      </c>
    </row>
    <row r="23" customFormat="false" ht="23.85" hidden="false" customHeight="false" outlineLevel="0" collapsed="false">
      <c r="B23" s="18" t="s">
        <v>161</v>
      </c>
      <c r="C23" s="44" t="s">
        <v>162</v>
      </c>
    </row>
    <row r="25" customFormat="false" ht="15" hidden="false" customHeight="true" outlineLevel="0" collapsed="false">
      <c r="B25" s="13" t="s">
        <v>163</v>
      </c>
      <c r="C25" s="13"/>
      <c r="D25" s="13"/>
      <c r="E25" s="13"/>
      <c r="F25" s="13"/>
      <c r="G25" s="13"/>
    </row>
    <row r="26" customFormat="false" ht="15" hidden="false" customHeight="false" outlineLevel="0" collapsed="false">
      <c r="B26" s="13"/>
      <c r="C26" s="13"/>
      <c r="D26" s="13"/>
      <c r="E26" s="13"/>
      <c r="F26" s="13"/>
      <c r="G26" s="13"/>
    </row>
    <row r="28" customFormat="false" ht="19.5" hidden="false" customHeight="true" outlineLevel="0" collapsed="false">
      <c r="A28" s="3" t="s">
        <v>164</v>
      </c>
      <c r="B28" s="3"/>
      <c r="C28" s="3"/>
      <c r="D28" s="3"/>
      <c r="E28" s="3"/>
      <c r="F28" s="3"/>
      <c r="G28" s="3"/>
    </row>
    <row r="29" customFormat="false" ht="35.05" hidden="false" customHeight="false" outlineLevel="0" collapsed="false">
      <c r="B29" s="8" t="s">
        <v>34</v>
      </c>
      <c r="C29" s="9" t="s">
        <v>165</v>
      </c>
      <c r="D29" s="9" t="s">
        <v>166</v>
      </c>
      <c r="E29" s="9" t="s">
        <v>167</v>
      </c>
    </row>
    <row r="30" customFormat="false" ht="15" hidden="false" customHeight="false" outlineLevel="0" collapsed="false">
      <c r="B30" s="10" t="s">
        <v>107</v>
      </c>
      <c r="C30" s="32" t="n">
        <v>0.814779</v>
      </c>
      <c r="D30" s="32" t="n">
        <v>0.826318</v>
      </c>
      <c r="E30" s="36" t="n">
        <f aca="false">D30-C30</f>
        <v>0.011539</v>
      </c>
    </row>
    <row r="31" customFormat="false" ht="15" hidden="false" customHeight="false" outlineLevel="0" collapsed="false">
      <c r="B31" s="10" t="s">
        <v>168</v>
      </c>
      <c r="C31" s="32" t="n">
        <v>0.225682</v>
      </c>
      <c r="D31" s="32" t="n">
        <v>0.165006</v>
      </c>
      <c r="E31" s="36" t="n">
        <f aca="false">D31-C31</f>
        <v>-0.060676</v>
      </c>
    </row>
    <row r="32" customFormat="false" ht="15" hidden="false" customHeight="false" outlineLevel="0" collapsed="false">
      <c r="B32" s="10" t="s">
        <v>169</v>
      </c>
      <c r="C32" s="12" t="n">
        <v>19</v>
      </c>
      <c r="D32" s="12" t="n">
        <v>5</v>
      </c>
      <c r="E32" s="45" t="n">
        <f aca="false">1-D32/C32</f>
        <v>0.736842105263158</v>
      </c>
    </row>
    <row r="34" customFormat="false" ht="15" hidden="false" customHeight="true" outlineLevel="0" collapsed="false">
      <c r="B34" s="13" t="s">
        <v>170</v>
      </c>
      <c r="C34" s="13"/>
      <c r="D34" s="13"/>
      <c r="E34" s="13"/>
      <c r="F34" s="13"/>
      <c r="G34" s="13"/>
    </row>
    <row r="35" customFormat="false" ht="15" hidden="false" customHeight="false" outlineLevel="0" collapsed="false">
      <c r="B35" s="13"/>
      <c r="C35" s="13"/>
      <c r="D35" s="13"/>
      <c r="E35" s="13"/>
      <c r="F35" s="13"/>
      <c r="G35" s="13"/>
    </row>
    <row r="36" customFormat="false" ht="15" hidden="false" customHeight="false" outlineLevel="0" collapsed="false">
      <c r="B36" s="13"/>
      <c r="C36" s="13"/>
      <c r="D36" s="13"/>
      <c r="E36" s="13"/>
      <c r="F36" s="13"/>
      <c r="G36" s="13"/>
    </row>
  </sheetData>
  <mergeCells count="7">
    <mergeCell ref="A1:G1"/>
    <mergeCell ref="A3:G3"/>
    <mergeCell ref="B11:G13"/>
    <mergeCell ref="A15:G15"/>
    <mergeCell ref="B25:G26"/>
    <mergeCell ref="A28:G28"/>
    <mergeCell ref="B34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3"/>
    <col collapsed="false" customWidth="true" hidden="false" outlineLevel="0" max="4" min="4" style="1" width="16"/>
    <col collapsed="false" customWidth="true" hidden="false" outlineLevel="0" max="5" min="5" style="1" width="44"/>
  </cols>
  <sheetData>
    <row r="1" customFormat="false" ht="27.75" hidden="false" customHeight="true" outlineLevel="0" collapsed="false">
      <c r="A1" s="2" t="s">
        <v>171</v>
      </c>
      <c r="B1" s="2"/>
      <c r="C1" s="2"/>
      <c r="D1" s="2"/>
      <c r="E1" s="2"/>
    </row>
    <row r="3" customFormat="false" ht="18" hidden="false" customHeight="true" outlineLevel="0" collapsed="false">
      <c r="B3" s="41" t="s">
        <v>172</v>
      </c>
      <c r="C3" s="41"/>
      <c r="D3" s="41"/>
      <c r="E3" s="41"/>
    </row>
    <row r="4" customFormat="false" ht="18" hidden="false" customHeight="true" outlineLevel="0" collapsed="false">
      <c r="B4" s="41"/>
      <c r="C4" s="41"/>
      <c r="D4" s="41"/>
      <c r="E4" s="41"/>
    </row>
    <row r="5" customFormat="false" ht="18" hidden="false" customHeight="true" outlineLevel="0" collapsed="false">
      <c r="B5" s="41"/>
      <c r="C5" s="41"/>
      <c r="D5" s="41"/>
      <c r="E5" s="41"/>
    </row>
    <row r="7" customFormat="false" ht="19.5" hidden="false" customHeight="true" outlineLevel="0" collapsed="false">
      <c r="A7" s="3" t="s">
        <v>173</v>
      </c>
      <c r="B7" s="3"/>
      <c r="C7" s="3"/>
      <c r="D7" s="3"/>
      <c r="E7" s="3"/>
    </row>
    <row r="8" customFormat="false" ht="15" hidden="false" customHeight="false" outlineLevel="0" collapsed="false">
      <c r="B8" s="8" t="s">
        <v>114</v>
      </c>
      <c r="C8" s="9" t="s">
        <v>174</v>
      </c>
      <c r="D8" s="9" t="s">
        <v>175</v>
      </c>
    </row>
    <row r="9" customFormat="false" ht="15" hidden="false" customHeight="false" outlineLevel="0" collapsed="false">
      <c r="B9" s="30" t="s">
        <v>119</v>
      </c>
      <c r="C9" s="31" t="n">
        <v>0.136349</v>
      </c>
      <c r="D9" s="35" t="n">
        <f aca="false">RANK(C9,$C$9:$C$13,1)</f>
        <v>1</v>
      </c>
    </row>
    <row r="10" customFormat="false" ht="15" hidden="false" customHeight="false" outlineLevel="0" collapsed="false">
      <c r="B10" s="10" t="s">
        <v>122</v>
      </c>
      <c r="C10" s="32" t="n">
        <v>0.144874</v>
      </c>
      <c r="D10" s="37" t="n">
        <f aca="false">RANK(C10,$C$9:$C$13,1)</f>
        <v>2</v>
      </c>
    </row>
    <row r="11" customFormat="false" ht="15" hidden="false" customHeight="false" outlineLevel="0" collapsed="false">
      <c r="B11" s="10" t="s">
        <v>121</v>
      </c>
      <c r="C11" s="32" t="n">
        <v>0.165006</v>
      </c>
      <c r="D11" s="37" t="n">
        <f aca="false">RANK(C11,$C$9:$C$13,1)</f>
        <v>3</v>
      </c>
    </row>
    <row r="12" customFormat="false" ht="15" hidden="false" customHeight="false" outlineLevel="0" collapsed="false">
      <c r="B12" s="10" t="s">
        <v>120</v>
      </c>
      <c r="C12" s="32" t="n">
        <v>0.17774</v>
      </c>
      <c r="D12" s="37" t="n">
        <f aca="false">RANK(C12,$C$9:$C$13,1)</f>
        <v>4</v>
      </c>
    </row>
    <row r="13" customFormat="false" ht="15" hidden="false" customHeight="false" outlineLevel="0" collapsed="false">
      <c r="B13" s="46" t="s">
        <v>123</v>
      </c>
      <c r="C13" s="47" t="n">
        <v>0.225682</v>
      </c>
      <c r="D13" s="48" t="n">
        <f aca="false">RANK(C13,$C$9:$C$13,1)</f>
        <v>5</v>
      </c>
    </row>
    <row r="15" customFormat="false" ht="15" hidden="false" customHeight="true" outlineLevel="0" collapsed="false">
      <c r="B15" s="13" t="s">
        <v>176</v>
      </c>
      <c r="C15" s="13"/>
      <c r="D15" s="13"/>
      <c r="E15" s="13"/>
    </row>
    <row r="16" customFormat="false" ht="15" hidden="false" customHeight="false" outlineLevel="0" collapsed="false">
      <c r="B16" s="13"/>
      <c r="C16" s="13"/>
      <c r="D16" s="13"/>
      <c r="E16" s="13"/>
    </row>
    <row r="18" customFormat="false" ht="19.5" hidden="false" customHeight="true" outlineLevel="0" collapsed="false">
      <c r="A18" s="3" t="s">
        <v>177</v>
      </c>
      <c r="B18" s="3"/>
      <c r="C18" s="3"/>
      <c r="D18" s="3"/>
      <c r="E18" s="3"/>
    </row>
    <row r="19" customFormat="false" ht="15.75" hidden="false" customHeight="true" outlineLevel="0" collapsed="false">
      <c r="B19" s="41" t="s">
        <v>178</v>
      </c>
      <c r="C19" s="41"/>
      <c r="D19" s="41"/>
      <c r="E19" s="41"/>
    </row>
    <row r="20" customFormat="false" ht="15.75" hidden="false" customHeight="true" outlineLevel="0" collapsed="false">
      <c r="B20" s="41"/>
      <c r="C20" s="41"/>
      <c r="D20" s="41"/>
      <c r="E20" s="41"/>
    </row>
    <row r="21" customFormat="false" ht="15.75" hidden="false" customHeight="true" outlineLevel="0" collapsed="false">
      <c r="B21" s="41" t="s">
        <v>179</v>
      </c>
      <c r="C21" s="41"/>
      <c r="D21" s="41"/>
      <c r="E21" s="41"/>
    </row>
    <row r="22" customFormat="false" ht="15.75" hidden="false" customHeight="true" outlineLevel="0" collapsed="false">
      <c r="B22" s="41"/>
      <c r="C22" s="41"/>
      <c r="D22" s="41"/>
      <c r="E22" s="41"/>
    </row>
    <row r="23" customFormat="false" ht="15.75" hidden="false" customHeight="true" outlineLevel="0" collapsed="false">
      <c r="B23" s="41" t="s">
        <v>180</v>
      </c>
      <c r="C23" s="41"/>
      <c r="D23" s="41"/>
      <c r="E23" s="41"/>
    </row>
    <row r="24" customFormat="false" ht="15.75" hidden="false" customHeight="true" outlineLevel="0" collapsed="false">
      <c r="B24" s="41"/>
      <c r="C24" s="41"/>
      <c r="D24" s="41"/>
      <c r="E24" s="41"/>
    </row>
    <row r="25" customFormat="false" ht="15.75" hidden="false" customHeight="true" outlineLevel="0" collapsed="false">
      <c r="B25" s="41" t="s">
        <v>181</v>
      </c>
      <c r="C25" s="41"/>
      <c r="D25" s="41"/>
      <c r="E25" s="41"/>
    </row>
    <row r="26" customFormat="false" ht="15.75" hidden="false" customHeight="true" outlineLevel="0" collapsed="false">
      <c r="B26" s="41"/>
      <c r="C26" s="41"/>
      <c r="D26" s="41"/>
      <c r="E26" s="41"/>
    </row>
    <row r="28" customFormat="false" ht="15" hidden="false" customHeight="true" outlineLevel="0" collapsed="false">
      <c r="B28" s="13" t="s">
        <v>182</v>
      </c>
      <c r="C28" s="13"/>
      <c r="D28" s="13"/>
      <c r="E28" s="13"/>
    </row>
    <row r="29" customFormat="false" ht="15" hidden="false" customHeight="false" outlineLevel="0" collapsed="false">
      <c r="B29" s="13"/>
      <c r="C29" s="13"/>
      <c r="D29" s="13"/>
      <c r="E29" s="13"/>
    </row>
    <row r="30" customFormat="false" ht="15" hidden="false" customHeight="false" outlineLevel="0" collapsed="false">
      <c r="B30" s="13"/>
      <c r="C30" s="13"/>
      <c r="D30" s="13"/>
      <c r="E30" s="13"/>
    </row>
  </sheetData>
  <mergeCells count="10">
    <mergeCell ref="A1:E1"/>
    <mergeCell ref="B3:E5"/>
    <mergeCell ref="A7:E7"/>
    <mergeCell ref="B15:E16"/>
    <mergeCell ref="A18:E18"/>
    <mergeCell ref="B19:E20"/>
    <mergeCell ref="B21:E22"/>
    <mergeCell ref="B23:E24"/>
    <mergeCell ref="B25:E26"/>
    <mergeCell ref="B28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2"/>
  </cols>
  <sheetData>
    <row r="1" customFormat="false" ht="27.75" hidden="false" customHeight="true" outlineLevel="0" collapsed="false">
      <c r="A1" s="2" t="s">
        <v>27</v>
      </c>
      <c r="B1" s="2"/>
    </row>
    <row r="3" customFormat="false" ht="19.5" hidden="false" customHeight="true" outlineLevel="0" collapsed="false">
      <c r="A3" s="3" t="s">
        <v>183</v>
      </c>
      <c r="B3" s="3"/>
    </row>
    <row r="4" customFormat="false" ht="18" hidden="false" customHeight="true" outlineLevel="0" collapsed="false">
      <c r="A4" s="7" t="s">
        <v>184</v>
      </c>
      <c r="B4" s="7"/>
    </row>
    <row r="5" customFormat="false" ht="18" hidden="false" customHeight="true" outlineLevel="0" collapsed="false">
      <c r="A5" s="7"/>
      <c r="B5" s="7"/>
    </row>
    <row r="6" customFormat="false" ht="18" hidden="false" customHeight="true" outlineLevel="0" collapsed="false">
      <c r="A6" s="7"/>
      <c r="B6" s="7"/>
    </row>
    <row r="7" customFormat="false" ht="18" hidden="false" customHeight="true" outlineLevel="0" collapsed="false">
      <c r="A7" s="7"/>
      <c r="B7" s="7"/>
    </row>
    <row r="8" customFormat="false" ht="18" hidden="false" customHeight="true" outlineLevel="0" collapsed="false">
      <c r="A8" s="7"/>
      <c r="B8" s="7"/>
    </row>
    <row r="9" customFormat="false" ht="18" hidden="false" customHeight="true" outlineLevel="0" collapsed="false">
      <c r="A9" s="7"/>
      <c r="B9" s="7"/>
    </row>
    <row r="11" customFormat="false" ht="19.5" hidden="false" customHeight="true" outlineLevel="0" collapsed="false">
      <c r="A11" s="3" t="s">
        <v>185</v>
      </c>
      <c r="B11" s="3"/>
    </row>
    <row r="12" customFormat="false" ht="18" hidden="false" customHeight="true" outlineLevel="0" collapsed="false">
      <c r="A12" s="49" t="s">
        <v>186</v>
      </c>
      <c r="B12" s="49"/>
    </row>
    <row r="13" customFormat="false" ht="18" hidden="false" customHeight="true" outlineLevel="0" collapsed="false">
      <c r="A13" s="49"/>
      <c r="B13" s="49"/>
    </row>
    <row r="14" customFormat="false" ht="18" hidden="false" customHeight="true" outlineLevel="0" collapsed="false">
      <c r="A14" s="49"/>
      <c r="B14" s="49"/>
    </row>
    <row r="15" customFormat="false" ht="18" hidden="false" customHeight="true" outlineLevel="0" collapsed="false">
      <c r="A15" s="49"/>
      <c r="B15" s="49"/>
    </row>
    <row r="16" customFormat="false" ht="18" hidden="false" customHeight="true" outlineLevel="0" collapsed="false">
      <c r="A16" s="49"/>
      <c r="B16" s="49"/>
    </row>
    <row r="17" customFormat="false" ht="18" hidden="false" customHeight="true" outlineLevel="0" collapsed="false">
      <c r="A17" s="49"/>
      <c r="B17" s="49"/>
    </row>
    <row r="19" customFormat="false" ht="19.5" hidden="false" customHeight="true" outlineLevel="0" collapsed="false">
      <c r="A19" s="3" t="s">
        <v>187</v>
      </c>
      <c r="B19" s="3"/>
    </row>
    <row r="20" customFormat="false" ht="15.75" hidden="false" customHeight="true" outlineLevel="0" collapsed="false">
      <c r="A20" s="41" t="s">
        <v>188</v>
      </c>
      <c r="B20" s="41"/>
    </row>
    <row r="21" customFormat="false" ht="15.75" hidden="false" customHeight="true" outlineLevel="0" collapsed="false">
      <c r="A21" s="41"/>
      <c r="B21" s="41"/>
    </row>
    <row r="22" customFormat="false" ht="15.75" hidden="false" customHeight="true" outlineLevel="0" collapsed="false">
      <c r="A22" s="41" t="s">
        <v>189</v>
      </c>
      <c r="B22" s="41"/>
    </row>
    <row r="23" customFormat="false" ht="15.75" hidden="false" customHeight="true" outlineLevel="0" collapsed="false">
      <c r="A23" s="41"/>
      <c r="B23" s="41"/>
    </row>
    <row r="24" customFormat="false" ht="15.75" hidden="false" customHeight="true" outlineLevel="0" collapsed="false">
      <c r="A24" s="41" t="s">
        <v>190</v>
      </c>
      <c r="B24" s="41"/>
    </row>
    <row r="25" customFormat="false" ht="15.75" hidden="false" customHeight="true" outlineLevel="0" collapsed="false">
      <c r="A25" s="41"/>
      <c r="B25" s="41"/>
    </row>
    <row r="26" customFormat="false" ht="15.75" hidden="false" customHeight="true" outlineLevel="0" collapsed="false">
      <c r="A26" s="41" t="s">
        <v>191</v>
      </c>
      <c r="B26" s="41"/>
    </row>
    <row r="27" customFormat="false" ht="15.75" hidden="false" customHeight="true" outlineLevel="0" collapsed="false">
      <c r="A27" s="41"/>
      <c r="B27" s="41"/>
    </row>
  </sheetData>
  <mergeCells count="10">
    <mergeCell ref="A1:B1"/>
    <mergeCell ref="A3:B3"/>
    <mergeCell ref="A4:B9"/>
    <mergeCell ref="A11:B11"/>
    <mergeCell ref="A12:B17"/>
    <mergeCell ref="A19:B19"/>
    <mergeCell ref="A20:B21"/>
    <mergeCell ref="A22:B23"/>
    <mergeCell ref="A24:B25"/>
    <mergeCell ref="A26: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2"/>
  </cols>
  <sheetData>
    <row r="1" customFormat="false" ht="27.75" hidden="false" customHeight="true" outlineLevel="0" collapsed="false">
      <c r="A1" s="2" t="s">
        <v>29</v>
      </c>
      <c r="B1" s="2"/>
    </row>
    <row r="3" customFormat="false" ht="15" hidden="false" customHeight="true" outlineLevel="0" collapsed="false">
      <c r="A3" s="50" t="s">
        <v>192</v>
      </c>
      <c r="B3" s="50"/>
    </row>
    <row r="4" customFormat="false" ht="18" hidden="false" customHeight="true" outlineLevel="0" collapsed="false">
      <c r="A4" s="41" t="s">
        <v>193</v>
      </c>
      <c r="B4" s="41"/>
    </row>
    <row r="5" customFormat="false" ht="18" hidden="false" customHeight="true" outlineLevel="0" collapsed="false">
      <c r="A5" s="41"/>
      <c r="B5" s="41"/>
    </row>
    <row r="7" customFormat="false" ht="15" hidden="false" customHeight="true" outlineLevel="0" collapsed="false">
      <c r="A7" s="50" t="s">
        <v>194</v>
      </c>
      <c r="B7" s="50"/>
    </row>
    <row r="8" customFormat="false" ht="18" hidden="false" customHeight="true" outlineLevel="0" collapsed="false">
      <c r="A8" s="41" t="s">
        <v>195</v>
      </c>
      <c r="B8" s="41"/>
    </row>
    <row r="9" customFormat="false" ht="18" hidden="false" customHeight="true" outlineLevel="0" collapsed="false">
      <c r="A9" s="41"/>
      <c r="B9" s="41"/>
    </row>
    <row r="11" customFormat="false" ht="15" hidden="false" customHeight="true" outlineLevel="0" collapsed="false">
      <c r="A11" s="50" t="s">
        <v>196</v>
      </c>
      <c r="B11" s="50"/>
    </row>
    <row r="12" customFormat="false" ht="18" hidden="false" customHeight="true" outlineLevel="0" collapsed="false">
      <c r="A12" s="41" t="s">
        <v>197</v>
      </c>
      <c r="B12" s="41"/>
    </row>
    <row r="13" customFormat="false" ht="18" hidden="false" customHeight="true" outlineLevel="0" collapsed="false">
      <c r="A13" s="41"/>
      <c r="B13" s="41"/>
    </row>
    <row r="15" customFormat="false" ht="15" hidden="false" customHeight="true" outlineLevel="0" collapsed="false">
      <c r="A15" s="50" t="s">
        <v>198</v>
      </c>
      <c r="B15" s="50"/>
    </row>
    <row r="16" customFormat="false" ht="18" hidden="false" customHeight="true" outlineLevel="0" collapsed="false">
      <c r="A16" s="41" t="s">
        <v>199</v>
      </c>
      <c r="B16" s="41"/>
    </row>
    <row r="17" customFormat="false" ht="18" hidden="false" customHeight="true" outlineLevel="0" collapsed="false">
      <c r="A17" s="41"/>
      <c r="B17" s="41"/>
    </row>
    <row r="19" customFormat="false" ht="15" hidden="false" customHeight="true" outlineLevel="0" collapsed="false">
      <c r="A19" s="50" t="s">
        <v>200</v>
      </c>
      <c r="B19" s="50"/>
    </row>
    <row r="20" customFormat="false" ht="18" hidden="false" customHeight="true" outlineLevel="0" collapsed="false">
      <c r="A20" s="41" t="s">
        <v>201</v>
      </c>
      <c r="B20" s="41"/>
    </row>
    <row r="21" customFormat="false" ht="18" hidden="false" customHeight="true" outlineLevel="0" collapsed="false">
      <c r="A21" s="41"/>
      <c r="B21" s="41"/>
    </row>
  </sheetData>
  <mergeCells count="11">
    <mergeCell ref="A1:B1"/>
    <mergeCell ref="A3:B3"/>
    <mergeCell ref="A4:B5"/>
    <mergeCell ref="A7:B7"/>
    <mergeCell ref="A8:B9"/>
    <mergeCell ref="A11:B11"/>
    <mergeCell ref="A12:B13"/>
    <mergeCell ref="A15:B15"/>
    <mergeCell ref="A16:B17"/>
    <mergeCell ref="A19:B19"/>
    <mergeCell ref="A20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2026-09-12T08:46:15Z</dcterms:created>
  <dc:creator>openpyxl</dc:creator>
  <dc:description/>
  <dc:language>en-US</dc:language>
  <cp:lastModifiedBy/>
  <dcterms:modified xsi:type="dcterms:W3CDTF">2026-09-12T08:50:02Z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